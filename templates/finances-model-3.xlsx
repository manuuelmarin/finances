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financiero" sheetId="1" r:id="rId5"/>
    <sheet state="visible" name="Movimientos" sheetId="2" r:id="rId6"/>
    <sheet state="visible" name="Inversiones" sheetId="3" r:id="rId7"/>
    <sheet state="visible" name="Cuentas" sheetId="4" r:id="rId8"/>
    <sheet state="visible" name="Salario" sheetId="5" r:id="rId9"/>
    <sheet state="visible" name="Objetivos" sheetId="6" r:id="rId10"/>
    <sheet state="visible" name="Inflación" sheetId="7" r:id="rId11"/>
    <sheet state="visible" name="Hipoteca" sheetId="8" r:id="rId12"/>
    <sheet state="visible" name="Configuración" sheetId="9" r:id="rId13"/>
    <sheet state="visible" name="Cálculos" sheetId="10" r:id="rId14"/>
    <sheet state="hidden" name="_Finanzas_Solicitudes" sheetId="11" r:id="rId15"/>
    <sheet state="hidden" name="_Finanzas_Auditoria" sheetId="12" r:id="rId16"/>
    <sheet state="hidden" name="_Finanzas_Observaciones" sheetId="13" r:id="rId17"/>
    <sheet state="hidden" name="_Finanzas_Fondos" sheetId="14" r:id="rId18"/>
    <sheet state="hidden" name="_Finanzas_Cotizaciones" sheetId="15" r:id="rId19"/>
    <sheet state="hidden" name="_Finanzas_Presupuestos" sheetId="16" r:id="rId20"/>
    <sheet state="hidden" name="_Finanzas_TraspasosFondos" sheetId="17" r:id="rId21"/>
    <sheet state="hidden" name="_Finanzas_Migraciones" sheetId="18" r:id="rId22"/>
    <sheet state="hidden" name="_Finanzas_Archivados" sheetId="19" r:id="rId23"/>
    <sheet state="hidden" name="_Finanzas_Plantillas" sheetId="20" r:id="rId24"/>
    <sheet state="hidden" name="_Finanzas_Obligaciones" sheetId="21" r:id="rId25"/>
  </sheets>
  <definedNames>
    <definedName name="ListaCuentas">Cuentas!$B$9:$B$128</definedName>
    <definedName name="Finanzas_HistoricoProductos">'Cálculos'!$B$278:$K$334</definedName>
    <definedName name="ListaFiltroCuentas">'Cálculos'!$T$9:$T$1331</definedName>
    <definedName name="Finanzas_GraficoProductos">'Cálculos'!$E$340:$F$459</definedName>
    <definedName name="ListaFiltroProductos">'Cálculos'!$U$9:$U$1331</definedName>
    <definedName name="ListaSubcategorias">'Configuración'!$E$15:$E$134</definedName>
    <definedName name="Finanzas_MesesInversiones">Inversiones!$B$928:$E$946</definedName>
    <definedName name="Finanzas_GraficoCiudades">'Cálculos'!$P$17:$Q$21</definedName>
    <definedName name="Finanzas_CalculoMovimientos">'Cálculos'!$B$9:$N$128</definedName>
    <definedName name="Finanzas_CalculoCategorias">'Cálculos'!$B$151:$F$270</definedName>
    <definedName name="ListaProductos">Inversiones!$B$30:$B$149</definedName>
  </definedNames>
  <calcPr/>
</workbook>
</file>

<file path=xl/sharedStrings.xml><?xml version="1.0" encoding="utf-8"?>
<sst xmlns="http://schemas.openxmlformats.org/spreadsheetml/2006/main" count="318" uniqueCount="198">
  <si>
    <t>Movimientos</t>
  </si>
  <si>
    <t>Cuentas</t>
  </si>
  <si>
    <t>ID</t>
  </si>
  <si>
    <t>Cuenta</t>
  </si>
  <si>
    <t>Fecha</t>
  </si>
  <si>
    <t>Saldo inicial</t>
  </si>
  <si>
    <t>Tipo</t>
  </si>
  <si>
    <t>Concepto</t>
  </si>
  <si>
    <t>Saldo real</t>
  </si>
  <si>
    <t>Subcategoría</t>
  </si>
  <si>
    <t>Fecha saldo</t>
  </si>
  <si>
    <t>Origen</t>
  </si>
  <si>
    <t>Saldo calculado</t>
  </si>
  <si>
    <t>Destino</t>
  </si>
  <si>
    <t>Importe</t>
  </si>
  <si>
    <t>Acreedor</t>
  </si>
  <si>
    <t>Recuperable</t>
  </si>
  <si>
    <t>Localización</t>
  </si>
  <si>
    <t>Saldo pendiente</t>
  </si>
  <si>
    <t>Recurrente</t>
  </si>
  <si>
    <t>Resumen financiero</t>
  </si>
  <si>
    <t>Año</t>
  </si>
  <si>
    <t>Periodo</t>
  </si>
  <si>
    <t>Todo el año</t>
  </si>
  <si>
    <t>Todas</t>
  </si>
  <si>
    <t>Patrimonio neto</t>
  </si>
  <si>
    <t>Efectivo</t>
  </si>
  <si>
    <t>Inversiones</t>
  </si>
  <si>
    <t>Deuda</t>
  </si>
  <si>
    <t>Ingresos</t>
  </si>
  <si>
    <t>Gastos propios</t>
  </si>
  <si>
    <t>Ahorro</t>
  </si>
  <si>
    <t>Producto</t>
  </si>
  <si>
    <t>Tasa de ahorro</t>
  </si>
  <si>
    <t>Todos</t>
  </si>
  <si>
    <t>Valoración</t>
  </si>
  <si>
    <t>Cartera</t>
  </si>
  <si>
    <t>Capital neto</t>
  </si>
  <si>
    <t>Resultado</t>
  </si>
  <si>
    <t>Resumen mensual</t>
  </si>
  <si>
    <t>Clase</t>
  </si>
  <si>
    <t>Mes</t>
  </si>
  <si>
    <t>Gastos</t>
  </si>
  <si>
    <t>Fecha base</t>
  </si>
  <si>
    <t>Unidades base</t>
  </si>
  <si>
    <t>Coste base</t>
  </si>
  <si>
    <t>Participaciones</t>
  </si>
  <si>
    <t>Aportado neto</t>
  </si>
  <si>
    <t>Valor</t>
  </si>
  <si>
    <t>Rentabilidad</t>
  </si>
  <si>
    <t>Peso</t>
  </si>
  <si>
    <t>Salario</t>
  </si>
  <si>
    <t>Movimiento</t>
  </si>
  <si>
    <t>Fecha cobro</t>
  </si>
  <si>
    <t>Neto</t>
  </si>
  <si>
    <t>Bruto</t>
  </si>
  <si>
    <t>Cotización</t>
  </si>
  <si>
    <t>IRPF</t>
  </si>
  <si>
    <t>Otras deducciones</t>
  </si>
  <si>
    <t>Objetivos</t>
  </si>
  <si>
    <t>Objetivo</t>
  </si>
  <si>
    <t>Meta</t>
  </si>
  <si>
    <t>Asignado</t>
  </si>
  <si>
    <t>Pendiente</t>
  </si>
  <si>
    <t>Avance</t>
  </si>
  <si>
    <t>Interés compuesto</t>
  </si>
  <si>
    <t>Capital inicial</t>
  </si>
  <si>
    <t>Aportado</t>
  </si>
  <si>
    <t>Aportación mensual</t>
  </si>
  <si>
    <t>Capital final</t>
  </si>
  <si>
    <t>Rentabilidad anual</t>
  </si>
  <si>
    <t>En euros de hoy</t>
  </si>
  <si>
    <t>Años</t>
  </si>
  <si>
    <t>Rendimiento</t>
  </si>
  <si>
    <t>Inflación anual</t>
  </si>
  <si>
    <t>Capital</t>
  </si>
  <si>
    <t>Capital real</t>
  </si>
  <si>
    <t>Asignaciones</t>
  </si>
  <si>
    <t>Hipoteca</t>
  </si>
  <si>
    <t>Precio de vivienda</t>
  </si>
  <si>
    <t>Capital financiado</t>
  </si>
  <si>
    <t>Entrada</t>
  </si>
  <si>
    <t>Cuota mensual</t>
  </si>
  <si>
    <t>Plazo en años</t>
  </si>
  <si>
    <t>Intereses totales</t>
  </si>
  <si>
    <t>TIN anual fijo</t>
  </si>
  <si>
    <t>Dinero inicial</t>
  </si>
  <si>
    <t>Gastos de compra</t>
  </si>
  <si>
    <t>Capital pendiente</t>
  </si>
  <si>
    <t>Capital amortizado</t>
  </si>
  <si>
    <t>Intereses acumulados</t>
  </si>
  <si>
    <t>Configuración</t>
  </si>
  <si>
    <t>Parámetro</t>
  </si>
  <si>
    <t>Inicio seguimiento</t>
  </si>
  <si>
    <t>Fecha informe</t>
  </si>
  <si>
    <t>Valoración inversiones</t>
  </si>
  <si>
    <t>Moneda</t>
  </si>
  <si>
    <t>EUR</t>
  </si>
  <si>
    <t>Versión modelo</t>
  </si>
  <si>
    <t>Grupo</t>
  </si>
  <si>
    <t>Subgrupo</t>
  </si>
  <si>
    <t>Categoría</t>
  </si>
  <si>
    <t>Tipos de movimiento</t>
  </si>
  <si>
    <t>Cálculos</t>
  </si>
  <si>
    <t>Ingreso</t>
  </si>
  <si>
    <t>Gasto</t>
  </si>
  <si>
    <t>Transferencia</t>
  </si>
  <si>
    <t>Compra inversión</t>
  </si>
  <si>
    <t>Venta inversión</t>
  </si>
  <si>
    <t>Rendimiento inversión</t>
  </si>
  <si>
    <t>Préstamo recibido</t>
  </si>
  <si>
    <t>Devolución deuda</t>
  </si>
  <si>
    <t>Cobro compartido</t>
  </si>
  <si>
    <t>Devolución gasto</t>
  </si>
  <si>
    <t>Clases de activo</t>
  </si>
  <si>
    <t>Renta variable</t>
  </si>
  <si>
    <t>Renta fija</t>
  </si>
  <si>
    <t>Cripto</t>
  </si>
  <si>
    <t>Monetario</t>
  </si>
  <si>
    <t>Mixto</t>
  </si>
  <si>
    <t>Gasto propio</t>
  </si>
  <si>
    <t>Recuperable pendiente</t>
  </si>
  <si>
    <t>Cuentas selector</t>
  </si>
  <si>
    <t>Productos selector</t>
  </si>
  <si>
    <t>Madrid</t>
  </si>
  <si>
    <t>Alicante</t>
  </si>
  <si>
    <t>Otros</t>
  </si>
  <si>
    <t>La Manga</t>
  </si>
  <si>
    <t>Albacete</t>
  </si>
  <si>
    <t>N/A</t>
  </si>
  <si>
    <t>Solicitud</t>
  </si>
  <si>
    <t>Huella</t>
  </si>
  <si>
    <t>Fecha registro</t>
  </si>
  <si>
    <t>Tabla</t>
  </si>
  <si>
    <t>Clave</t>
  </si>
  <si>
    <t>Antes</t>
  </si>
  <si>
    <t>Después</t>
  </si>
  <si>
    <t>Hora</t>
  </si>
  <si>
    <t>Alcance</t>
  </si>
  <si>
    <t>Fuente</t>
  </si>
  <si>
    <t>ISIN</t>
  </si>
  <si>
    <t>Nombre referencia</t>
  </si>
  <si>
    <t>Consulta</t>
  </si>
  <si>
    <t>Fecha VL</t>
  </si>
  <si>
    <t>VL EUR</t>
  </si>
  <si>
    <t>Moneda clase</t>
  </si>
  <si>
    <t>Proveedor</t>
  </si>
  <si>
    <t>URL</t>
  </si>
  <si>
    <t>Consultado el</t>
  </si>
  <si>
    <t>Estado</t>
  </si>
  <si>
    <t>Detalle</t>
  </si>
  <si>
    <t>Límite EUR</t>
  </si>
  <si>
    <t>Activo</t>
  </si>
  <si>
    <t>Venta</t>
  </si>
  <si>
    <t>Compra</t>
  </si>
  <si>
    <t>Aportado neto trasladado</t>
  </si>
  <si>
    <t>Aportado bruto trasladado</t>
  </si>
  <si>
    <t>Valor bruto de salida</t>
  </si>
  <si>
    <t>Valor bruto de entrada</t>
  </si>
  <si>
    <t>Relaciones</t>
  </si>
  <si>
    <t>Vinculado a</t>
  </si>
  <si>
    <t>Versión</t>
  </si>
  <si>
    <t>Hoja</t>
  </si>
  <si>
    <t>Fila</t>
  </si>
  <si>
    <t>Columna</t>
  </si>
  <si>
    <t>Fórmula original</t>
  </si>
  <si>
    <t>Fórmula canónica</t>
  </si>
  <si>
    <t>Referencia</t>
  </si>
  <si>
    <t>Archivado</t>
  </si>
  <si>
    <t>Nombre</t>
  </si>
  <si>
    <t>Operación</t>
  </si>
  <si>
    <t>Etiqueta</t>
  </si>
  <si>
    <t>Gasto positivo</t>
  </si>
  <si>
    <t>Corte</t>
  </si>
  <si>
    <t>Cobertura</t>
  </si>
  <si>
    <t>VL</t>
  </si>
  <si>
    <t>Valor disponible</t>
  </si>
  <si>
    <t>Nómina neta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</si>
  <si>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</si>
  <si>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</si>
  <si>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</si>
  <si>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</si>
  <si>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</si>
  <si>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</si>
  <si>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</si>
  <si>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</si>
  <si>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</si>
  <si>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</si>
  <si>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</si>
  <si>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</si>
  <si>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Compras, ventas y cobros</t>
  </si>
  <si>
    <t>Precio</t>
  </si>
  <si>
    <t>Comisión</t>
  </si>
  <si>
    <t>Retención</t>
  </si>
  <si>
    <t>Valores liquidativos</t>
  </si>
  <si>
    <t>Evolución mensual</t>
  </si>
  <si>
    <t>Capital invertido</t>
  </si>
  <si>
    <t>Valor de mercado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</si>
</sst>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&quot; €&quot;;(#,##0.00&quot; €&quot;);&quot;—&quot;"/>
    <numFmt numFmtId="165" formatCode="dd/mm/yyyy"/>
    <numFmt numFmtId="166" formatCode="0.0%;(0.0%);&quot;—&quot;"/>
    <numFmt numFmtId="167" formatCode="0.000000"/>
    <numFmt numFmtId="168" formatCode="D/M/YYYY"/>
  </numFmts>
  <fonts count="13">
    <font>
      <sz val="11.0"/>
      <color rgb="FF000000"/>
      <name val="Carlito"/>
      <scheme val="minor"/>
    </font>
    <font>
      <sz val="11.0"/>
      <color rgb="FFEEE8DC"/>
      <name val="Arial"/>
    </font>
    <font>
      <b/>
      <sz val="18.0"/>
      <color rgb="FFEEE8DC"/>
      <name val="Arial"/>
    </font>
    <font>
      <b/>
      <sz val="11.0"/>
      <color rgb="FFEEE8DC"/>
      <name val="Arial"/>
    </font>
    <font>
      <sz val="11.0"/>
      <color rgb="FF8FB7D5"/>
      <name val="Arial"/>
    </font>
    <font>
      <b/>
      <sz val="11.0"/>
      <color rgb="FFE5B774"/>
      <name val="Arial"/>
    </font>
    <font>
      <sz val="11.0"/>
      <color rgb="FFAAB4C2"/>
      <name val="Arial"/>
    </font>
    <font/>
    <font>
      <b/>
      <sz val="20.0"/>
      <color rgb="FFEEE8DC"/>
      <name val="Arial"/>
    </font>
    <font>
      <b/>
      <sz val="12.0"/>
      <color rgb="FFE5B774"/>
      <name val="Arial"/>
    </font>
    <font>
      <sz val="12.0"/>
      <color rgb="FF8FB7D5"/>
      <name val="Arial"/>
    </font>
    <font>
      <b/>
      <sz val="15.0"/>
      <color rgb="FFEEE8DC"/>
      <name val="Arial"/>
    </font>
    <font>
      <color theme="1"/>
      <name val="Carlito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51B24"/>
        <bgColor rgb="FF151B24"/>
      </patternFill>
    </fill>
    <fill>
      <patternFill patternType="solid">
        <fgColor rgb="FF334252"/>
        <bgColor rgb="FF334252"/>
      </patternFill>
    </fill>
    <fill>
      <patternFill patternType="solid">
        <fgColor rgb="FF1B2430"/>
        <bgColor rgb="FF1B2430"/>
      </patternFill>
    </fill>
    <fill>
      <patternFill patternType="solid">
        <fgColor rgb="FF202A36"/>
        <bgColor rgb="FF202A36"/>
      </patternFill>
    </fill>
  </fills>
  <borders count="6">
    <border/>
    <border>
      <bottom style="thin">
        <color rgb="FFE5B774"/>
      </bottom>
    </border>
    <border>
      <top style="medium">
        <color rgb="FFE5B774"/>
      </top>
    </border>
    <border>
      <top style="medium">
        <color rgb="FF71BBB0"/>
      </top>
    </border>
    <border>
      <top style="medium">
        <color rgb="FFA495C6"/>
      </top>
    </border>
    <border>
      <top style="medium">
        <color rgb="FFCF8779"/>
      </top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2" numFmtId="0" xfId="0" applyAlignment="1" applyFill="1" applyFont="1">
      <alignment vertical="center"/>
    </xf>
    <xf borderId="1" fillId="2" fontId="1" numFmtId="0" xfId="0" applyAlignment="1" applyBorder="1" applyFill="1" applyFont="1">
      <alignment vertical="center"/>
    </xf>
    <xf borderId="0" fillId="3" fontId="3" numFmtId="0" xfId="0" applyAlignment="1" applyFill="1" applyFont="1">
      <alignment horizontal="center" readingOrder="0" shrinkToFit="0" vertical="center" wrapText="1"/>
    </xf>
    <xf borderId="0" fillId="4" fontId="4" numFmtId="0" xfId="0" applyAlignment="1" applyFill="1" applyFont="1">
      <alignment shrinkToFit="0" vertical="center" wrapText="0"/>
    </xf>
    <xf borderId="0" fillId="4" fontId="4" numFmtId="164" xfId="0" applyAlignment="1" applyFill="1" applyFont="1" applyNumberFormat="1">
      <alignment horizontal="right" shrinkToFit="0" vertical="center" wrapText="0"/>
    </xf>
    <xf borderId="0" fillId="4" fontId="4" numFmtId="165" xfId="0" applyAlignment="1" applyFill="1" applyFont="1" applyNumberFormat="1">
      <alignment horizontal="center" shrinkToFit="0" vertical="center" wrapText="0"/>
    </xf>
    <xf borderId="0" fillId="4" fontId="4" numFmtId="0" xfId="0" applyAlignment="1" applyFill="1" applyFont="1">
      <alignment horizontal="center" shrinkToFit="0" vertical="center" wrapText="0"/>
    </xf>
    <xf borderId="0" fillId="4" fontId="1" numFmtId="164" xfId="0" applyAlignment="1" applyFill="1" applyFont="1" applyNumberFormat="1">
      <alignment horizontal="right" shrinkToFit="0" vertical="center" wrapText="0"/>
    </xf>
    <xf borderId="0" fillId="5" fontId="4" numFmtId="0" xfId="0" applyAlignment="1" applyFill="1" applyFont="1">
      <alignment shrinkToFit="0" vertical="center" wrapText="0"/>
    </xf>
    <xf borderId="0" fillId="5" fontId="4" numFmtId="165" xfId="0" applyAlignment="1" applyFill="1" applyFont="1" applyNumberFormat="1">
      <alignment horizontal="center" shrinkToFit="0" vertical="center" wrapText="0"/>
    </xf>
    <xf borderId="0" fillId="5" fontId="4" numFmtId="0" xfId="0" applyAlignment="1" applyFill="1" applyFont="1">
      <alignment horizontal="center" shrinkToFit="0" vertical="center" wrapText="0"/>
    </xf>
    <xf borderId="0" fillId="5" fontId="4" numFmtId="164" xfId="0" applyAlignment="1" applyFill="1" applyFont="1" applyNumberFormat="1">
      <alignment horizontal="right" shrinkToFit="0" vertical="center" wrapText="0"/>
    </xf>
    <xf borderId="0" fillId="5" fontId="1" numFmtId="164" xfId="0" applyAlignment="1" applyFill="1" applyFont="1" applyNumberFormat="1">
      <alignment horizontal="right" shrinkToFit="0" vertical="center" wrapText="0"/>
    </xf>
    <xf borderId="0" fillId="4" fontId="4" numFmtId="165" xfId="0" applyAlignment="1" applyFill="1" applyFont="1" applyNumberFormat="1">
      <alignment horizontal="center" shrinkToFit="0" vertical="center" wrapText="0"/>
    </xf>
    <xf borderId="0" fillId="5" fontId="4" numFmtId="0" xfId="0" applyAlignment="1" applyFill="1" applyFont="1">
      <alignment readingOrder="0" shrinkToFit="0" vertical="center" wrapText="0"/>
    </xf>
    <xf borderId="0" fillId="5" fontId="4" numFmtId="165" xfId="0" applyAlignment="1" applyFill="1" applyFont="1" applyNumberFormat="1">
      <alignment horizontal="center" readingOrder="0" shrinkToFit="0" vertical="center" wrapText="0"/>
    </xf>
    <xf borderId="0" fillId="5" fontId="4" numFmtId="0" xfId="0" applyAlignment="1" applyFill="1" applyFont="1">
      <alignment horizontal="center" readingOrder="0" shrinkToFit="0" vertical="center" wrapText="0"/>
    </xf>
    <xf borderId="0" fillId="5" fontId="4" numFmtId="164" xfId="0" applyAlignment="1" applyFill="1" applyFont="1" applyNumberFormat="1">
      <alignment horizontal="right" readingOrder="0" shrinkToFit="0" vertical="center" wrapText="0"/>
    </xf>
    <xf borderId="0" fillId="4" fontId="4" numFmtId="0" xfId="0" applyAlignment="1" applyFill="1" applyFont="1">
      <alignment readingOrder="0" shrinkToFit="0" vertical="center" wrapText="0"/>
    </xf>
    <xf borderId="0" fillId="4" fontId="4" numFmtId="165" xfId="0" applyAlignment="1" applyFill="1" applyFont="1" applyNumberForma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shrinkToFit="0" vertical="center" wrapText="0"/>
    </xf>
    <xf borderId="0" fillId="4" fontId="4" numFmtId="164" xfId="0" applyAlignment="1" applyFill="1" applyFont="1" applyNumberFormat="1">
      <alignment horizontal="right" readingOrder="0" shrinkToFit="0" vertical="center" wrapText="0"/>
    </xf>
    <xf borderId="0" fillId="3" fontId="5" numFmtId="0" xfId="0" applyAlignment="1" applyFill="1" applyFont="1">
      <alignment horizontal="center" vertical="center"/>
    </xf>
    <xf borderId="2" fillId="5" fontId="6" numFmtId="0" xfId="0" applyAlignment="1" applyBorder="1" applyFill="1" applyFont="1">
      <alignment vertical="center"/>
    </xf>
    <xf borderId="2" fillId="0" fontId="7" numFmtId="0" xfId="0" applyBorder="1" applyFont="1"/>
    <xf borderId="3" fillId="5" fontId="6" numFmtId="0" xfId="0" applyAlignment="1" applyBorder="1" applyFill="1" applyFont="1">
      <alignment vertical="center"/>
    </xf>
    <xf borderId="3" fillId="0" fontId="7" numFmtId="0" xfId="0" applyBorder="1" applyFont="1"/>
    <xf borderId="4" fillId="5" fontId="6" numFmtId="0" xfId="0" applyAlignment="1" applyBorder="1" applyFill="1" applyFont="1">
      <alignment vertical="center"/>
    </xf>
    <xf borderId="4" fillId="0" fontId="7" numFmtId="0" xfId="0" applyBorder="1" applyFont="1"/>
    <xf borderId="5" fillId="5" fontId="6" numFmtId="0" xfId="0" applyAlignment="1" applyBorder="1" applyFill="1" applyFont="1">
      <alignment vertical="center"/>
    </xf>
    <xf borderId="5" fillId="0" fontId="7" numFmtId="0" xfId="0" applyBorder="1" applyFont="1"/>
    <xf borderId="0" fillId="5" fontId="8" numFmtId="164" xfId="0" applyAlignment="1" applyFill="1" applyFont="1" applyNumberFormat="1">
      <alignment horizontal="left" vertical="center"/>
    </xf>
    <xf borderId="0" fillId="3" fontId="5" numFmtId="0" xfId="0" applyAlignment="1" applyFill="1" applyFont="1">
      <alignment readingOrder="0" vertical="center"/>
    </xf>
    <xf borderId="0" fillId="5" fontId="8" numFmtId="166" xfId="0" applyAlignment="1" applyFill="1" applyFont="1" applyNumberFormat="1">
      <alignment horizontal="left" vertical="center"/>
    </xf>
    <xf borderId="0" fillId="2" fontId="1" numFmtId="165" xfId="0" applyAlignment="1" applyFill="1" applyFont="1" applyNumberFormat="1">
      <alignment horizontal="center" vertical="center"/>
    </xf>
    <xf borderId="0" fillId="2" fontId="9" numFmtId="0" xfId="0" applyAlignment="1" applyFill="1" applyFont="1">
      <alignment vertical="center"/>
    </xf>
    <xf borderId="0" fillId="3" fontId="3" numFmtId="0" xfId="0" applyAlignment="1" applyFill="1" applyFont="1">
      <alignment horizontal="center" vertical="center"/>
    </xf>
    <xf borderId="0" fillId="2" fontId="1" numFmtId="164" xfId="0" applyAlignment="1" applyFill="1" applyFont="1" applyNumberFormat="1">
      <alignment vertical="center"/>
    </xf>
    <xf borderId="0" fillId="4" fontId="4" numFmtId="167" xfId="0" applyAlignment="1" applyFill="1" applyFont="1" applyNumberFormat="1">
      <alignment horizontal="right" shrinkToFit="0" vertical="center" wrapText="0"/>
    </xf>
    <xf borderId="0" fillId="4" fontId="1" numFmtId="167" xfId="0" applyAlignment="1" applyFill="1" applyFont="1" applyNumberFormat="1">
      <alignment horizontal="right" shrinkToFit="0" vertical="center" wrapText="0"/>
    </xf>
    <xf borderId="0" fillId="4" fontId="1" numFmtId="166" xfId="0" applyAlignment="1" applyFill="1" applyFont="1" applyNumberFormat="1">
      <alignment horizontal="right" shrinkToFit="0" vertical="center" wrapText="0"/>
    </xf>
    <xf borderId="0" fillId="5" fontId="4" numFmtId="167" xfId="0" applyAlignment="1" applyFill="1" applyFont="1" applyNumberFormat="1">
      <alignment horizontal="right" shrinkToFit="0" vertical="center" wrapText="0"/>
    </xf>
    <xf borderId="0" fillId="5" fontId="1" numFmtId="167" xfId="0" applyAlignment="1" applyFill="1" applyFont="1" applyNumberFormat="1">
      <alignment horizontal="right" shrinkToFit="0" vertical="center" wrapText="0"/>
    </xf>
    <xf borderId="0" fillId="5" fontId="1" numFmtId="166" xfId="0" applyAlignment="1" applyFill="1" applyFont="1" applyNumberFormat="1">
      <alignment horizontal="right" shrinkToFit="0" vertical="center" wrapText="0"/>
    </xf>
    <xf borderId="0" fillId="4" fontId="1" numFmtId="165" xfId="0" applyAlignment="1" applyFill="1" applyFont="1" applyNumberFormat="1">
      <alignment horizontal="center" shrinkToFit="0" vertical="center" wrapText="0"/>
    </xf>
    <xf borderId="0" fillId="5" fontId="1" numFmtId="165" xfId="0" applyAlignment="1" applyFill="1" applyFont="1" applyNumberFormat="1">
      <alignment horizontal="center" shrinkToFit="0" vertical="center" wrapText="0"/>
    </xf>
    <xf borderId="0" fillId="3" fontId="10" numFmtId="164" xfId="0" applyAlignment="1" applyFill="1" applyFont="1" applyNumberFormat="1">
      <alignment horizontal="right" readingOrder="0" vertical="center"/>
    </xf>
    <xf borderId="0" fillId="2" fontId="6" numFmtId="0" xfId="0" applyAlignment="1" applyFill="1" applyFont="1">
      <alignment vertical="center"/>
    </xf>
    <xf borderId="0" fillId="5" fontId="11" numFmtId="164" xfId="0" applyAlignment="1" applyFill="1" applyFont="1" applyNumberFormat="1">
      <alignment horizontal="right" vertical="center"/>
    </xf>
    <xf borderId="0" fillId="3" fontId="10" numFmtId="166" xfId="0" applyAlignment="1" applyFill="1" applyFont="1" applyNumberFormat="1">
      <alignment horizontal="right" readingOrder="0" vertical="center"/>
    </xf>
    <xf borderId="0" fillId="3" fontId="10" numFmtId="0" xfId="0" applyAlignment="1" applyFill="1" applyFont="1">
      <alignment horizontal="right" readingOrder="0" vertical="center"/>
    </xf>
    <xf borderId="0" fillId="3" fontId="3" numFmtId="0" xfId="0" applyAlignment="1" applyFill="1" applyFont="1">
      <alignment horizontal="center" shrinkToFit="0" vertical="center" wrapText="1"/>
    </xf>
    <xf borderId="0" fillId="2" fontId="1" numFmtId="164" xfId="0" applyAlignment="1" applyFill="1" applyFont="1" applyNumberFormat="1">
      <alignment horizontal="right" vertical="center"/>
    </xf>
    <xf borderId="0" fillId="3" fontId="3" numFmtId="0" xfId="0" applyAlignment="1" applyFill="1" applyFont="1">
      <alignment horizontal="left" readingOrder="0" shrinkToFit="0" vertical="center" wrapText="0"/>
    </xf>
    <xf borderId="0" fillId="2" fontId="1" numFmtId="0" xfId="0" applyAlignment="1" applyFill="1" applyFont="1">
      <alignment shrinkToFit="0" vertical="center" wrapText="0"/>
    </xf>
    <xf borderId="0" fillId="5" fontId="4" numFmtId="165" xfId="0" applyAlignment="1" applyFill="1" applyFont="1" applyNumberFormat="1">
      <alignment readingOrder="0" shrinkToFit="0" vertical="center" wrapText="0"/>
    </xf>
    <xf borderId="0" fillId="2" fontId="3" numFmtId="0" xfId="0" applyAlignment="1" applyFill="1" applyFont="1">
      <alignment vertical="center"/>
    </xf>
    <xf borderId="0" fillId="2" fontId="1" numFmtId="168" xfId="0" applyAlignment="1" applyFill="1" applyFont="1" applyNumberFormat="1">
      <alignment vertical="center"/>
    </xf>
    <xf borderId="0" fillId="0" fontId="12" numFmtId="0" xfId="0" applyAlignment="1" applyFont="1">
      <alignment readingOrder="0"/>
    </xf>
    <xf borderId="0" fillId="0" fontId="12" numFmtId="0" xfId="0" applyFont="1"/>
    <xf borderId="0" fillId="2" fontId="1" numFmtId="0" xfId="0" applyAlignment="1" applyFill="1" applyFont="1">
      <alignment readingOrder="0" vertical="center"/>
    </xf>
    <xf borderId="0" fillId="4" fontId="1" numFmtId="0" xfId="0" applyAlignment="1" applyFill="1" applyFont="1">
      <alignment shrinkToFit="0" vertical="center" wrapText="0"/>
    </xf>
    <xf borderId="0" fillId="5" fontId="1" numFmtId="0" xfId="0" applyAlignment="1" applyFill="1" applyFont="1">
      <alignment shrinkToFit="0" vertical="center" wrapText="0"/>
    </xf>
    <xf borderId="0" fillId="2" fontId="1" numFmtId="14" xfId="0" applyAlignment="1" applyFill="1" applyFont="1" applyNumberFormat="1">
      <alignment vertical="center"/>
    </xf>
    <xf borderId="0" fillId="2" fontId="1" numFmtId="167" xfId="0" applyAlignment="1" applyFill="1" applyFont="1" applyNumberFormat="1">
      <alignment vertical="center"/>
    </xf>
    <xf borderId="0" fillId="5" fontId="4" numFmtId="167" xfId="0" applyAlignment="1" applyFill="1" applyFont="1" applyNumberFormat="1">
      <alignment horizontal="right" readingOrder="0" shrinkToFit="0" vertical="center" wrapText="0"/>
    </xf>
    <xf borderId="0" fillId="4" fontId="4" numFmtId="0" xfId="0" applyAlignment="1" applyFill="1" applyFont="1">
      <alignment shrinkToFit="0" vertical="center" wrapText="1"/>
    </xf>
    <xf borderId="0" fillId="5" fontId="4" numFmtId="0" xfId="0" applyAlignment="1" applyFill="1" applyFont="1">
      <alignment shrinkToFit="0" vertical="center" wrapText="1"/>
    </xf>
    <xf borderId="0" fillId="4" fontId="4" numFmtId="167" xfId="0" applyAlignment="1" applyFill="1" applyFont="1" applyNumberFormat="1">
      <alignment horizontal="right" readingOrder="0" shrinkToFit="0" vertical="center" wrapText="0"/>
    </xf>
    <xf borderId="0" fillId="4" fontId="4" numFmtId="0" xfId="0" applyAlignment="1" applyFill="1" applyFont="1">
      <alignment readingOrder="0" shrinkToFit="0" vertical="center" wrapText="1"/>
    </xf>
    <xf borderId="0" fillId="5" fontId="4" numFmtId="0" xfId="0" applyAlignment="1" applyFill="1" applyFont="1">
      <alignment readingOrder="0" shrinkToFit="0" vertical="center" wrapText="1"/>
    </xf>
    <xf borderId="0" fillId="4" fontId="1" numFmtId="0" xfId="0" applyAlignment="1" applyFill="1" applyFont="1">
      <alignment vertical="center"/>
    </xf>
    <xf borderId="0" fillId="4" fontId="1" numFmtId="164" xfId="0" applyAlignment="1" applyFill="1" applyFont="1" applyNumberFormat="1">
      <alignment horizontal="right" vertical="center"/>
    </xf>
    <xf borderId="0" fillId="5" fontId="1" numFmtId="0" xfId="0" applyAlignment="1" applyFill="1" applyFont="1">
      <alignment vertical="center"/>
    </xf>
    <xf borderId="0" fillId="5" fontId="1" numFmtId="164" xfId="0" applyAlignment="1" applyFill="1" applyFont="1" applyNumberFormat="1">
      <alignment horizontal="right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E2F1EF"/>
          <bgColor rgb="FFE2F1EF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2">
    <tableStyle count="4" pivot="0" name="Movimien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uen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uenta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uenta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version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versione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versione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lar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bjetiv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bjetivo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figuració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figuración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818489"/>
                </a:solidFill>
                <a:latin typeface="+mn-lt"/>
              </a:defRPr>
            </a:pPr>
            <a:r>
              <a:rPr b="0" i="0">
                <a:solidFill>
                  <a:srgbClr val="818489"/>
                </a:solidFill>
                <a:latin typeface="+mn-lt"/>
              </a:rPr>
              <a:t>Ingresos y gastos por mes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Ingresos</c:v>
          </c:tx>
          <c:spPr>
            <a:solidFill>
              <a:srgbClr val="71BBB0"/>
            </a:solidFill>
            <a:ln cmpd="sng">
              <a:noFill/>
            </a:ln>
          </c:spPr>
          <c:invertIfNegative val="0"/>
          <c:cat>
            <c:strRef>
              <c:f>'Cálculos'!$G$135:$G$146</c:f>
            </c:strRef>
          </c:cat>
          <c:val>
            <c:numRef>
              <c:f>'Cálculos'!$C$135:$C$146</c:f>
              <c:numCache/>
            </c:numRef>
          </c:val>
        </c:ser>
        <c:ser>
          <c:idx val="1"/>
          <c:order val="1"/>
          <c:tx>
            <c:v>Gastos</c:v>
          </c:tx>
          <c:spPr>
            <a:solidFill>
              <a:srgbClr val="CF8779"/>
            </a:solidFill>
            <a:ln cmpd="sng">
              <a:noFill/>
            </a:ln>
          </c:spPr>
          <c:invertIfNegative val="0"/>
          <c:cat>
            <c:strRef>
              <c:f>'Cálculos'!$G$135:$G$146</c:f>
            </c:strRef>
          </c:cat>
          <c:val>
            <c:numRef>
              <c:f>'Cálculos'!$D$135:$D$146</c:f>
              <c:numCache/>
            </c:numRef>
          </c:val>
        </c:ser>
        <c:axId val="912500508"/>
        <c:axId val="1501734750"/>
      </c:barChart>
      <c:catAx>
        <c:axId val="9125005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51B24"/>
                    </a:solidFill>
                    <a:latin typeface="+mn-lt"/>
                  </a:defRPr>
                </a:pPr>
                <a:r>
                  <a:rPr b="0">
                    <a:solidFill>
                      <a:srgbClr val="151B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AAB4C2"/>
                </a:solidFill>
                <a:latin typeface="Arial"/>
              </a:defRPr>
            </a:pPr>
          </a:p>
        </c:txPr>
        <c:crossAx val="1501734750"/>
      </c:catAx>
      <c:valAx>
        <c:axId val="15017347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51B24"/>
                    </a:solidFill>
                    <a:latin typeface="+mn-lt"/>
                  </a:defRPr>
                </a:pPr>
                <a:r>
                  <a:rPr b="0">
                    <a:solidFill>
                      <a:srgbClr val="151B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&quot; €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AAB4C2"/>
                </a:solidFill>
                <a:latin typeface="Arial"/>
              </a:defRPr>
            </a:pPr>
          </a:p>
        </c:txPr>
        <c:crossAx val="912500508"/>
      </c:valAx>
      <c:spPr>
        <a:solidFill>
          <a:srgbClr val="202A36"/>
        </a:solidFill>
      </c:spPr>
    </c:plotArea>
    <c:legend>
      <c:legendPos val="b"/>
      <c:overlay val="0"/>
      <c:txPr>
        <a:bodyPr/>
        <a:lstStyle/>
        <a:p>
          <a:pPr lvl="0">
            <a:defRPr b="1" i="0" sz="900">
              <a:solidFill>
                <a:srgbClr val="EEE8DC"/>
              </a:solidFill>
              <a:latin typeface="Arial"/>
            </a:defRPr>
          </a:pPr>
        </a:p>
      </c:txPr>
    </c:legend>
    <c:plotVisOnly val="1"/>
  </c:chart>
  <c:spPr>
    <a:solidFill>
      <a:srgbClr val="202A36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818489"/>
                </a:solidFill>
                <a:latin typeface="+mn-lt"/>
              </a:defRPr>
            </a:pPr>
            <a:r>
              <a:rPr b="0" i="0">
                <a:solidFill>
                  <a:srgbClr val="818489"/>
                </a:solidFill>
                <a:latin typeface="+mn-lt"/>
              </a:rPr>
              <a:t>Distribución del gasto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'Cálculos'!$E$151:$E$270</c:f>
            </c:strRef>
          </c:cat>
          <c:val>
            <c:numRef>
              <c:f>'Cálculos'!$F$151:$F$270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solidFill>
          <a:srgbClr val="202A36"/>
        </a:solidFill>
      </c:spPr>
    </c:plotArea>
    <c:legend>
      <c:legendPos val="b"/>
      <c:overlay val="0"/>
      <c:txPr>
        <a:bodyPr/>
        <a:lstStyle/>
        <a:p>
          <a:pPr lvl="0">
            <a:defRPr b="1" i="0" sz="900">
              <a:solidFill>
                <a:srgbClr val="EEE8DC"/>
              </a:solidFill>
              <a:latin typeface="Arial"/>
            </a:defRPr>
          </a:pPr>
        </a:p>
      </c:txPr>
    </c:legend>
    <c:plotVisOnly val="1"/>
  </c:chart>
  <c:spPr>
    <a:solidFill>
      <a:srgbClr val="202A36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818489"/>
                </a:solidFill>
                <a:latin typeface="+mn-lt"/>
              </a:defRPr>
            </a:pPr>
            <a:r>
              <a:rPr b="0" i="0">
                <a:solidFill>
                  <a:srgbClr val="818489"/>
                </a:solidFill>
                <a:latin typeface="+mn-lt"/>
              </a:rPr>
              <a:t>Evolución del efectivo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Efectivo</c:v>
          </c:tx>
          <c:spPr>
            <a:ln cmpd="sng" w="19050">
              <a:solidFill>
                <a:srgbClr val="E5B774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'Cálculos'!$G$135:$G$146</c:f>
            </c:strRef>
          </c:cat>
          <c:val>
            <c:numRef>
              <c:f>'Cálculos'!$F$135:$F$146</c:f>
              <c:numCache/>
            </c:numRef>
          </c:val>
          <c:smooth val="0"/>
        </c:ser>
        <c:axId val="1171015584"/>
        <c:axId val="387569939"/>
      </c:lineChart>
      <c:catAx>
        <c:axId val="1171015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51B24"/>
                    </a:solidFill>
                    <a:latin typeface="+mn-lt"/>
                  </a:defRPr>
                </a:pPr>
                <a:r>
                  <a:rPr b="0">
                    <a:solidFill>
                      <a:srgbClr val="151B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AAB4C2"/>
                </a:solidFill>
                <a:latin typeface="Arial"/>
              </a:defRPr>
            </a:pPr>
          </a:p>
        </c:txPr>
        <c:crossAx val="387569939"/>
      </c:catAx>
      <c:valAx>
        <c:axId val="3875699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51B24"/>
                    </a:solidFill>
                    <a:latin typeface="+mn-lt"/>
                  </a:defRPr>
                </a:pPr>
                <a:r>
                  <a:rPr b="0">
                    <a:solidFill>
                      <a:srgbClr val="151B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&quot; €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AAB4C2"/>
                </a:solidFill>
                <a:latin typeface="Arial"/>
              </a:defRPr>
            </a:pPr>
          </a:p>
        </c:txPr>
        <c:crossAx val="1171015584"/>
      </c:valAx>
      <c:spPr>
        <a:solidFill>
          <a:srgbClr val="202A36"/>
        </a:solidFill>
      </c:spPr>
    </c:plotArea>
    <c:legend>
      <c:legendPos val="b"/>
      <c:overlay val="0"/>
      <c:txPr>
        <a:bodyPr/>
        <a:lstStyle/>
        <a:p>
          <a:pPr lvl="0">
            <a:defRPr b="1" i="0" sz="900">
              <a:solidFill>
                <a:srgbClr val="EEE8DC"/>
              </a:solidFill>
              <a:latin typeface="Arial"/>
            </a:defRPr>
          </a:pPr>
        </a:p>
      </c:txPr>
    </c:legend>
    <c:plotVisOnly val="1"/>
  </c:chart>
  <c:spPr>
    <a:solidFill>
      <a:srgbClr val="202A36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818489"/>
                </a:solidFill>
                <a:latin typeface="+mn-lt"/>
              </a:defRPr>
            </a:pPr>
            <a:r>
              <a:rPr b="0" i="0">
                <a:solidFill>
                  <a:srgbClr val="818489"/>
                </a:solidFill>
                <a:latin typeface="+mn-lt"/>
              </a:rPr>
              <a:t>Gasto por categoría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invertIfNegative val="0"/>
          <c:cat>
            <c:strRef>
              <c:f>'Cálculos'!$B$151:$B$270</c:f>
            </c:strRef>
          </c:cat>
          <c:val>
            <c:numRef>
              <c:f>'Cálculos'!$C$151:$C$270</c:f>
              <c:numCache/>
            </c:numRef>
          </c:val>
        </c:ser>
        <c:axId val="388863984"/>
        <c:axId val="1434676327"/>
      </c:barChart>
      <c:catAx>
        <c:axId val="388863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51B24"/>
                    </a:solidFill>
                    <a:latin typeface="+mn-lt"/>
                  </a:defRPr>
                </a:pPr>
                <a:r>
                  <a:rPr b="0">
                    <a:solidFill>
                      <a:srgbClr val="151B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AAB4C2"/>
                </a:solidFill>
                <a:latin typeface="Arial"/>
              </a:defRPr>
            </a:pPr>
          </a:p>
        </c:txPr>
        <c:crossAx val="1434676327"/>
      </c:catAx>
      <c:valAx>
        <c:axId val="143467632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88863984"/>
      </c:valAx>
      <c:spPr>
        <a:solidFill>
          <a:srgbClr val="202A36"/>
        </a:solidFill>
      </c:spPr>
    </c:plotArea>
    <c:legend>
      <c:legendPos val="b"/>
      <c:overlay val="0"/>
      <c:txPr>
        <a:bodyPr/>
        <a:lstStyle/>
        <a:p>
          <a:pPr lvl="0">
            <a:defRPr b="1" i="0" sz="900">
              <a:solidFill>
                <a:srgbClr val="EEE8DC"/>
              </a:solidFill>
              <a:latin typeface="Arial"/>
            </a:defRPr>
          </a:pPr>
        </a:p>
      </c:txPr>
    </c:legend>
    <c:plotVisOnly val="1"/>
  </c:chart>
  <c:spPr>
    <a:solidFill>
      <a:srgbClr val="202A36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818489"/>
                </a:solidFill>
                <a:latin typeface="+mn-lt"/>
              </a:defRPr>
            </a:pPr>
            <a:r>
              <a:rPr b="0" i="0">
                <a:solidFill>
                  <a:srgbClr val="818489"/>
                </a:solidFill>
                <a:latin typeface="+mn-lt"/>
              </a:rPr>
              <a:t>Gasto por ciudad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Gasto propio</c:v>
          </c:tx>
          <c:spPr>
            <a:solidFill>
              <a:srgbClr val="CF8779"/>
            </a:solidFill>
            <a:ln cmpd="sng">
              <a:noFill/>
            </a:ln>
          </c:spPr>
          <c:invertIfNegative val="0"/>
          <c:cat>
            <c:strRef>
              <c:f>'Cálculos'!$P$17:$P$21</c:f>
            </c:strRef>
          </c:cat>
          <c:val>
            <c:numRef>
              <c:f>'Cálculos'!$Q$17:$Q$21</c:f>
              <c:numCache/>
            </c:numRef>
          </c:val>
        </c:ser>
        <c:axId val="1169461467"/>
        <c:axId val="1894651136"/>
      </c:barChart>
      <c:catAx>
        <c:axId val="11694614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51B24"/>
                    </a:solidFill>
                    <a:latin typeface="+mn-lt"/>
                  </a:defRPr>
                </a:pPr>
                <a:r>
                  <a:rPr b="0">
                    <a:solidFill>
                      <a:srgbClr val="151B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AAB4C2"/>
                </a:solidFill>
                <a:latin typeface="Arial"/>
              </a:defRPr>
            </a:pPr>
          </a:p>
        </c:txPr>
        <c:crossAx val="1894651136"/>
      </c:catAx>
      <c:valAx>
        <c:axId val="18946511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51B24"/>
                    </a:solidFill>
                    <a:latin typeface="+mn-lt"/>
                  </a:defRPr>
                </a:pPr>
                <a:r>
                  <a:rPr b="0">
                    <a:solidFill>
                      <a:srgbClr val="151B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&quot; €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AAB4C2"/>
                </a:solidFill>
                <a:latin typeface="Arial"/>
              </a:defRPr>
            </a:pPr>
          </a:p>
        </c:txPr>
        <c:crossAx val="1169461467"/>
      </c:valAx>
      <c:spPr>
        <a:solidFill>
          <a:srgbClr val="202A36"/>
        </a:solidFill>
      </c:spPr>
    </c:plotArea>
    <c:legend>
      <c:legendPos val="b"/>
      <c:overlay val="0"/>
      <c:txPr>
        <a:bodyPr/>
        <a:lstStyle/>
        <a:p>
          <a:pPr lvl="0">
            <a:defRPr b="1" i="0" sz="900">
              <a:solidFill>
                <a:srgbClr val="EEE8DC"/>
              </a:solidFill>
              <a:latin typeface="Arial"/>
            </a:defRPr>
          </a:pPr>
        </a:p>
      </c:txPr>
    </c:legend>
    <c:plotVisOnly val="1"/>
  </c:chart>
  <c:spPr>
    <a:solidFill>
      <a:srgbClr val="202A36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818489"/>
                </a:solidFill>
                <a:latin typeface="+mn-lt"/>
              </a:defRPr>
            </a:pPr>
            <a:r>
              <a:rPr b="0" i="0">
                <a:solidFill>
                  <a:srgbClr val="818489"/>
                </a:solidFill>
                <a:latin typeface="+mn-lt"/>
              </a:rPr>
              <a:t>Valor de mercado y capital invertido</a:t>
            </a:r>
          </a:p>
        </c:rich>
      </c:tx>
      <c:overlay val="0"/>
    </c:title>
    <c:plotArea>
      <c:layout/>
      <c:lineChart>
        <c:ser>
          <c:idx val="0"/>
          <c:order val="0"/>
          <c:tx>
            <c:v>Valor de mercado</c:v>
          </c:tx>
          <c:spPr>
            <a:ln cmpd="sng" w="19050">
              <a:solidFill>
                <a:srgbClr val="71BBB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Inversiones!$B$928:$B$946</c:f>
            </c:strRef>
          </c:cat>
          <c:val>
            <c:numRef>
              <c:f>Inversiones!$D$928:$D$946</c:f>
              <c:numCache/>
            </c:numRef>
          </c:val>
          <c:smooth val="0"/>
        </c:ser>
        <c:ser>
          <c:idx val="1"/>
          <c:order val="1"/>
          <c:tx>
            <c:v>Capital invertido</c:v>
          </c:tx>
          <c:spPr>
            <a:ln cmpd="sng" w="19050">
              <a:solidFill>
                <a:srgbClr val="E5B774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Inversiones!$B$928:$B$946</c:f>
            </c:strRef>
          </c:cat>
          <c:val>
            <c:numRef>
              <c:f>Inversiones!$C$928:$C$946</c:f>
              <c:numCache/>
            </c:numRef>
          </c:val>
          <c:smooth val="0"/>
        </c:ser>
        <c:axId val="1584421165"/>
        <c:axId val="229762161"/>
      </c:lineChart>
      <c:catAx>
        <c:axId val="15844211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51B24"/>
                    </a:solidFill>
                    <a:latin typeface="+mn-lt"/>
                  </a:defRPr>
                </a:pPr>
                <a:r>
                  <a:rPr b="0">
                    <a:solidFill>
                      <a:srgbClr val="151B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AAB4C2"/>
                </a:solidFill>
                <a:latin typeface="Arial"/>
              </a:defRPr>
            </a:pPr>
          </a:p>
        </c:txPr>
        <c:crossAx val="229762161"/>
      </c:catAx>
      <c:valAx>
        <c:axId val="2297621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51B24"/>
                    </a:solidFill>
                    <a:latin typeface="+mn-lt"/>
                  </a:defRPr>
                </a:pPr>
                <a:r>
                  <a:rPr b="0">
                    <a:solidFill>
                      <a:srgbClr val="151B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&quot; €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AAB4C2"/>
                </a:solidFill>
                <a:latin typeface="Arial"/>
              </a:defRPr>
            </a:pPr>
          </a:p>
        </c:txPr>
        <c:crossAx val="1584421165"/>
      </c:valAx>
      <c:spPr>
        <a:solidFill>
          <a:srgbClr val="202A36"/>
        </a:solidFill>
      </c:spPr>
    </c:plotArea>
    <c:legend>
      <c:legendPos val="b"/>
      <c:overlay val="0"/>
      <c:txPr>
        <a:bodyPr/>
        <a:lstStyle/>
        <a:p>
          <a:pPr lvl="0">
            <a:defRPr b="1" i="0" sz="900">
              <a:solidFill>
                <a:srgbClr val="EEE8DC"/>
              </a:solidFill>
              <a:latin typeface="Arial"/>
            </a:defRPr>
          </a:pPr>
        </a:p>
      </c:txPr>
    </c:legend>
    <c:plotVisOnly val="1"/>
  </c:chart>
  <c:spPr>
    <a:solidFill>
      <a:srgbClr val="202A36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818489"/>
                </a:solidFill>
                <a:latin typeface="+mn-lt"/>
              </a:defRPr>
            </a:pPr>
            <a:r>
              <a:rPr b="0" i="0">
                <a:solidFill>
                  <a:srgbClr val="818489"/>
                </a:solidFill>
                <a:latin typeface="+mn-lt"/>
              </a:rPr>
              <a:t>Peso de las posiciones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'Cálculos'!$E$340:$E$459</c:f>
            </c:strRef>
          </c:cat>
          <c:val>
            <c:numRef>
              <c:f>'Cálculos'!$F$340:$F$459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solidFill>
          <a:srgbClr val="202A36"/>
        </a:solidFill>
      </c:spPr>
    </c:plotArea>
    <c:legend>
      <c:legendPos val="b"/>
      <c:overlay val="0"/>
      <c:txPr>
        <a:bodyPr/>
        <a:lstStyle/>
        <a:p>
          <a:pPr lvl="0">
            <a:defRPr b="1" i="0" sz="900">
              <a:solidFill>
                <a:srgbClr val="EEE8DC"/>
              </a:solidFill>
              <a:latin typeface="Arial"/>
            </a:defRPr>
          </a:pPr>
        </a:p>
      </c:txPr>
    </c:legend>
    <c:plotVisOnly val="1"/>
  </c:chart>
  <c:spPr>
    <a:solidFill>
      <a:srgbClr val="202A36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818489"/>
                </a:solidFill>
                <a:latin typeface="+mn-lt"/>
              </a:defRPr>
            </a:pPr>
            <a:r>
              <a:rPr b="0" i="0">
                <a:solidFill>
                  <a:srgbClr val="818489"/>
                </a:solidFill>
                <a:latin typeface="+mn-lt"/>
              </a:rPr>
              <a:t>Clases de activo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71BBB0"/>
              </a:solidFill>
            </c:spPr>
          </c:dPt>
          <c:dPt>
            <c:idx val="1"/>
            <c:spPr>
              <a:solidFill>
                <a:srgbClr val="E5B774"/>
              </a:solidFill>
            </c:spPr>
          </c:dPt>
          <c:dPt>
            <c:idx val="2"/>
            <c:spPr>
              <a:solidFill>
                <a:srgbClr val="CF8779"/>
              </a:solidFill>
            </c:spPr>
          </c:dPt>
          <c:dPt>
            <c:idx val="3"/>
            <c:spPr>
              <a:solidFill>
                <a:srgbClr val="8FB7D5"/>
              </a:solidFill>
            </c:spPr>
          </c:dPt>
          <c:dPt>
            <c:idx val="4"/>
            <c:spPr>
              <a:solidFill>
                <a:srgbClr val="A495C6"/>
              </a:solidFill>
            </c:spPr>
          </c:dPt>
          <c:dPt>
            <c:idx val="5"/>
            <c:spPr>
              <a:solidFill>
                <a:srgbClr val="AAB4C2"/>
              </a:solidFill>
            </c:spPr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'Cálculos'!$B$340:$B$462</c:f>
            </c:strRef>
          </c:cat>
          <c:val>
            <c:numRef>
              <c:f>'Cálculos'!$C$340:$C$462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solidFill>
          <a:srgbClr val="202A36"/>
        </a:solidFill>
      </c:spPr>
    </c:plotArea>
    <c:legend>
      <c:legendPos val="b"/>
      <c:overlay val="0"/>
      <c:txPr>
        <a:bodyPr/>
        <a:lstStyle/>
        <a:p>
          <a:pPr lvl="0">
            <a:defRPr b="1" i="0" sz="900">
              <a:solidFill>
                <a:srgbClr val="EEE8DC"/>
              </a:solidFill>
              <a:latin typeface="Arial"/>
            </a:defRPr>
          </a:pPr>
        </a:p>
      </c:txPr>
    </c:legend>
    <c:plotVisOnly val="1"/>
  </c:chart>
  <c:spPr>
    <a:solidFill>
      <a:srgbClr val="202A36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818489"/>
                </a:solidFill>
                <a:latin typeface="+mn-lt"/>
              </a:defRPr>
            </a:pPr>
            <a:r>
              <a:rPr b="0" i="0">
                <a:solidFill>
                  <a:srgbClr val="818489"/>
                </a:solidFill>
                <a:latin typeface="+mn-lt"/>
              </a:rPr>
              <a:t>Nóminas del año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Nómina neta</c:v>
          </c:tx>
          <c:spPr>
            <a:solidFill>
              <a:srgbClr val="E5B774"/>
            </a:solidFill>
            <a:ln cmpd="sng">
              <a:noFill/>
            </a:ln>
          </c:spPr>
          <c:invertIfNegative val="0"/>
          <c:cat>
            <c:strRef>
              <c:f>'Cálculos'!$B$466:$B$477</c:f>
            </c:strRef>
          </c:cat>
          <c:val>
            <c:numRef>
              <c:f>'Cálculos'!$C$466:$C$477</c:f>
              <c:numCache/>
            </c:numRef>
          </c:val>
        </c:ser>
        <c:axId val="1878431135"/>
        <c:axId val="1740500120"/>
      </c:barChart>
      <c:catAx>
        <c:axId val="1878431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51B24"/>
                    </a:solidFill>
                    <a:latin typeface="+mn-lt"/>
                  </a:defRPr>
                </a:pPr>
                <a:r>
                  <a:rPr b="0">
                    <a:solidFill>
                      <a:srgbClr val="151B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AAB4C2"/>
                </a:solidFill>
                <a:latin typeface="Arial"/>
              </a:defRPr>
            </a:pPr>
          </a:p>
        </c:txPr>
        <c:crossAx val="1740500120"/>
      </c:catAx>
      <c:valAx>
        <c:axId val="17405001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51B24"/>
                    </a:solidFill>
                    <a:latin typeface="+mn-lt"/>
                  </a:defRPr>
                </a:pPr>
                <a:r>
                  <a:rPr b="0">
                    <a:solidFill>
                      <a:srgbClr val="151B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&quot; €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AAB4C2"/>
                </a:solidFill>
                <a:latin typeface="Arial"/>
              </a:defRPr>
            </a:pPr>
          </a:p>
        </c:txPr>
        <c:crossAx val="1878431135"/>
      </c:valAx>
      <c:spPr>
        <a:solidFill>
          <a:srgbClr val="202A36"/>
        </a:solidFill>
      </c:spPr>
    </c:plotArea>
    <c:legend>
      <c:legendPos val="b"/>
      <c:overlay val="0"/>
      <c:txPr>
        <a:bodyPr/>
        <a:lstStyle/>
        <a:p>
          <a:pPr lvl="0">
            <a:defRPr b="1" i="0" sz="900">
              <a:solidFill>
                <a:srgbClr val="EEE8DC"/>
              </a:solidFill>
              <a:latin typeface="Arial"/>
            </a:defRPr>
          </a:pPr>
        </a:p>
      </c:txPr>
    </c:legend>
    <c:plotVisOnly val="1"/>
  </c:chart>
  <c:spPr>
    <a:solidFill>
      <a:srgbClr val="202A36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200">
                <a:solidFill>
                  <a:srgbClr val="818489"/>
                </a:solidFill>
                <a:latin typeface="Arial"/>
              </a:defRPr>
            </a:pPr>
            <a:r>
              <a:rPr b="0" sz="1200">
                <a:solidFill>
                  <a:srgbClr val="818489"/>
                </a:solidFill>
                <a:latin typeface="Arial"/>
              </a:rPr>
              <a:t>Capital aportado, nominal y real</a:t>
            </a:r>
          </a:p>
        </c:rich>
      </c:tx>
      <c:overlay val="0"/>
    </c:title>
    <c:plotArea>
      <c:layout/>
      <c:lineChart>
        <c:axId val="1613729513"/>
        <c:axId val="390261318"/>
      </c:lineChart>
      <c:catAx>
        <c:axId val="16137295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51B24"/>
                    </a:solidFill>
                    <a:latin typeface="Arial"/>
                  </a:defRPr>
                </a:pPr>
                <a:r>
                  <a:rPr b="0">
                    <a:solidFill>
                      <a:srgbClr val="151B24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51B24"/>
                </a:solidFill>
                <a:latin typeface="Arial"/>
              </a:defRPr>
            </a:pPr>
          </a:p>
        </c:txPr>
        <c:crossAx val="390261318"/>
      </c:catAx>
      <c:valAx>
        <c:axId val="39026131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1372951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2C323A"/>
              </a:solidFill>
              <a:latin typeface="Arial"/>
            </a:defRPr>
          </a:pPr>
        </a:p>
      </c:txPr>
    </c:legend>
    <c:plotVisOnly val="1"/>
  </c:chart>
  <c:spPr>
    <a:solidFill>
      <a:srgbClr val="202A36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200">
                <a:solidFill>
                  <a:srgbClr val="818489"/>
                </a:solidFill>
                <a:latin typeface="Arial"/>
              </a:defRPr>
            </a:pPr>
            <a:r>
              <a:rPr b="0" sz="1200">
                <a:solidFill>
                  <a:srgbClr val="818489"/>
                </a:solidFill>
                <a:latin typeface="Arial"/>
              </a:rPr>
              <a:t>Capital pendiente por año</a:t>
            </a:r>
          </a:p>
        </c:rich>
      </c:tx>
      <c:overlay val="0"/>
    </c:title>
    <c:plotArea>
      <c:layout/>
      <c:lineChart>
        <c:varyColors val="0"/>
        <c:axId val="1970028486"/>
        <c:axId val="1172525707"/>
      </c:lineChart>
      <c:catAx>
        <c:axId val="19700284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51B24"/>
                    </a:solidFill>
                    <a:latin typeface="Arial"/>
                  </a:defRPr>
                </a:pPr>
                <a:r>
                  <a:rPr b="0">
                    <a:solidFill>
                      <a:srgbClr val="151B24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51B24"/>
                </a:solidFill>
                <a:latin typeface="Arial"/>
              </a:defRPr>
            </a:pPr>
          </a:p>
        </c:txPr>
        <c:crossAx val="1172525707"/>
      </c:catAx>
      <c:valAx>
        <c:axId val="117252570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97002848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2C323A"/>
              </a:solidFill>
              <a:latin typeface="Arial"/>
            </a:defRPr>
          </a:pPr>
        </a:p>
      </c:txPr>
    </c:legend>
    <c:plotVisOnly val="1"/>
  </c:chart>
  <c:spPr>
    <a:solidFill>
      <a:srgbClr val="202A36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16</xdr:row>
      <xdr:rowOff>0</xdr:rowOff>
    </xdr:from>
    <xdr:ext cx="7124700" cy="50292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0</xdr:colOff>
      <xdr:row>16</xdr:row>
      <xdr:rowOff>0</xdr:rowOff>
    </xdr:from>
    <xdr:ext cx="5829300" cy="50292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34</xdr:row>
      <xdr:rowOff>0</xdr:rowOff>
    </xdr:from>
    <xdr:ext cx="7124700" cy="50292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0</xdr:colOff>
      <xdr:row>34</xdr:row>
      <xdr:rowOff>0</xdr:rowOff>
    </xdr:from>
    <xdr:ext cx="5829300" cy="50292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13</xdr:col>
      <xdr:colOff>0</xdr:colOff>
      <xdr:row>52</xdr:row>
      <xdr:rowOff>0</xdr:rowOff>
    </xdr:from>
    <xdr:ext cx="5829300" cy="502920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6</xdr:row>
      <xdr:rowOff>0</xdr:rowOff>
    </xdr:from>
    <xdr:ext cx="10591800" cy="59721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6</xdr:row>
      <xdr:rowOff>0</xdr:rowOff>
    </xdr:from>
    <xdr:ext cx="7315200" cy="28289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0</xdr:colOff>
      <xdr:row>16</xdr:row>
      <xdr:rowOff>0</xdr:rowOff>
    </xdr:from>
    <xdr:ext cx="7315200" cy="282892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7</xdr:row>
      <xdr:rowOff>0</xdr:rowOff>
    </xdr:from>
    <xdr:ext cx="4953000" cy="7172325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14</xdr:row>
      <xdr:rowOff>0</xdr:rowOff>
    </xdr:from>
    <xdr:ext cx="7924800" cy="7153275"/>
    <xdr:graphicFrame>
      <xdr:nvGraphicFramePr>
        <xdr:cNvPr id="10" name="Chart 10" title="Capital aportado, nominal y re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14</xdr:row>
      <xdr:rowOff>0</xdr:rowOff>
    </xdr:from>
    <xdr:ext cx="7924800" cy="7153275"/>
    <xdr:graphicFrame>
      <xdr:nvGraphicFramePr>
        <xdr:cNvPr id="11" name="Chart 11" title="Capital pendiente por añ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8:L128" displayName="tMovimientos" name="tMovimientos" id="1">
  <tableColumns count="11">
    <tableColumn name="ID" id="1"/>
    <tableColumn name="Fecha" id="2"/>
    <tableColumn name="Tipo" id="3"/>
    <tableColumn name="Concepto" id="4"/>
    <tableColumn name="Subcategoría" id="5"/>
    <tableColumn name="Origen" id="6"/>
    <tableColumn name="Destino" id="7"/>
    <tableColumn name="Importe" id="8"/>
    <tableColumn name="Recuperable" id="9"/>
    <tableColumn name="Localización" id="10"/>
    <tableColumn name="Recurrente" id="11"/>
  </tableColumns>
  <tableStyleInfo name="Movimientos-style" showColumnStripes="0" showFirstColumn="1" showLastColumn="1" showRowStripes="1"/>
</table>
</file>

<file path=xl/tables/table2.xml><?xml version="1.0" encoding="utf-8"?>
<table xmlns="http://schemas.openxmlformats.org/spreadsheetml/2006/main" ref="B29:N149" displayName="tProductos" name="tProductos" id="5">
  <tableColumns count="13">
    <tableColumn name="ID" id="1"/>
    <tableColumn name="Producto" id="2"/>
    <tableColumn name="Cuenta" id="3"/>
    <tableColumn name="Clase" id="4"/>
    <tableColumn name="Fecha base" id="5"/>
    <tableColumn name="Unidades base" id="6"/>
    <tableColumn name="Coste base" id="7"/>
    <tableColumn name="Participaciones" id="8"/>
    <tableColumn name="Aportado neto" id="9"/>
    <tableColumn name="Valor" id="10"/>
    <tableColumn name="Resultado" id="11"/>
    <tableColumn name="Rentabilidad" id="12"/>
    <tableColumn name="Peso" id="13"/>
  </tableColumns>
  <tableStyleInfo name="Inversiones-style" showColumnStripes="0" showFirstColumn="1" showLastColumn="1" showRowStripes="1"/>
</table>
</file>

<file path=xl/tables/table3.xml><?xml version="1.0" encoding="utf-8"?>
<table xmlns="http://schemas.openxmlformats.org/spreadsheetml/2006/main" ref="B155:K285" displayName="tOperaciones" name="tOperaciones" id="6">
  <tableColumns count="10">
    <tableColumn name="ID" id="1"/>
    <tableColumn name="Fecha" id="2"/>
    <tableColumn name="Producto" id="3"/>
    <tableColumn name="Tipo" id="4"/>
    <tableColumn name="Participaciones" id="5"/>
    <tableColumn name="Precio" id="6"/>
    <tableColumn name="Comisión" id="7"/>
    <tableColumn name="Retención" id="8"/>
    <tableColumn name="Importe" id="9"/>
    <tableColumn name="Movimiento" id="10"/>
  </tableColumns>
  <tableStyleInfo name="Inversiones-style 2" showColumnStripes="0" showFirstColumn="1" showLastColumn="1" showRowStripes="1"/>
</table>
</file>

<file path=xl/tables/table4.xml><?xml version="1.0" encoding="utf-8"?>
<table xmlns="http://schemas.openxmlformats.org/spreadsheetml/2006/main" ref="B291:E921" displayName="tPrecios" name="tPrecios" id="7">
  <tableColumns count="4">
    <tableColumn name="Producto" id="1"/>
    <tableColumn name="Fecha" id="2"/>
    <tableColumn name="VL EUR" id="3"/>
    <tableColumn name="Fuente" id="4"/>
  </tableColumns>
  <tableStyleInfo name="Inversiones-style 3" showColumnStripes="0" showFirstColumn="1" showLastColumn="1" showRowStripes="1"/>
</table>
</file>

<file path=xl/tables/table5.xml><?xml version="1.0" encoding="utf-8"?>
<table xmlns="http://schemas.openxmlformats.org/spreadsheetml/2006/main" ref="B8:F128" displayName="tCuentas" name="tCuentas" id="2">
  <tableColumns count="5">
    <tableColumn name="Cuenta" id="1"/>
    <tableColumn name="Saldo inicial" id="2"/>
    <tableColumn name="Saldo real" id="3"/>
    <tableColumn name="Fecha saldo" id="4"/>
    <tableColumn name="Saldo calculado" id="5"/>
  </tableColumns>
  <tableStyleInfo name="Cuentas-style" showColumnStripes="0" showFirstColumn="1" showLastColumn="1" showRowStripes="1"/>
</table>
</file>

<file path=xl/tables/table6.xml><?xml version="1.0" encoding="utf-8"?>
<table xmlns="http://schemas.openxmlformats.org/spreadsheetml/2006/main" ref="H8:K128" displayName="tDeudas" name="tDeudas" id="3">
  <tableColumns count="4">
    <tableColumn name="ID" id="1"/>
    <tableColumn name="Acreedor" id="2"/>
    <tableColumn name="Saldo inicial" id="3"/>
    <tableColumn name="Saldo pendiente" id="4"/>
  </tableColumns>
  <tableStyleInfo name="Cuentas-style 2" showColumnStripes="0" showFirstColumn="1" showLastColumn="1" showRowStripes="1"/>
</table>
</file>

<file path=xl/tables/table7.xml><?xml version="1.0" encoding="utf-8"?>
<table xmlns="http://schemas.openxmlformats.org/spreadsheetml/2006/main" ref="B134:F254" displayName="tVinculos" name="tVinculos" id="4">
  <tableColumns count="5">
    <tableColumn name="Movimiento" id="1"/>
    <tableColumn name="Vinculado a" id="2"/>
    <tableColumn name="Fecha" id="3"/>
    <tableColumn name="Tipo" id="4"/>
    <tableColumn name="Importe" id="5"/>
  </tableColumns>
  <tableStyleInfo name="Cuentas-style 3" showColumnStripes="0" showFirstColumn="1" showLastColumn="1" showRowStripes="1"/>
</table>
</file>

<file path=xl/tables/table8.xml><?xml version="1.0" encoding="utf-8"?>
<table xmlns="http://schemas.openxmlformats.org/spreadsheetml/2006/main" ref="B8:H128" displayName="tNominas" name="tNominas" id="8">
  <tableColumns count="7">
    <tableColumn name="Movimiento" id="1"/>
    <tableColumn name="Fecha cobro" id="2"/>
    <tableColumn name="Neto" id="3"/>
    <tableColumn name="Bruto" id="4"/>
    <tableColumn name="Cotización" id="5"/>
    <tableColumn name="IRPF" id="6"/>
    <tableColumn name="Otras deducciones" id="7"/>
  </tableColumns>
  <tableStyleInfo name="Salario-style" showColumnStripes="0" showFirstColumn="1" showLastColumn="1" showRowStripes="1"/>
</table>
</file>

<file path=xl/tables/table9.xml><?xml version="1.0" encoding="utf-8"?>
<table xmlns="http://schemas.openxmlformats.org/spreadsheetml/2006/main" ref="B8:H113" displayName="tObjetivos" name="tObjetivos" id="9">
  <tableColumns count="7">
    <tableColumn name="ID" id="1"/>
    <tableColumn name="Objetivo" id="2"/>
    <tableColumn name="Meta" id="3"/>
    <tableColumn name="Fecha" id="4"/>
    <tableColumn name="Asignado" id="5"/>
    <tableColumn name="Pendiente" id="6"/>
    <tableColumn name="Avance" id="7"/>
  </tableColumns>
  <tableStyleInfo name="Objetivos-style" showColumnStripes="0" showFirstColumn="1" showLastColumn="1" showRowStripes="1"/>
</table>
</file>

<file path=xl/tables/table10.xml><?xml version="1.0" encoding="utf-8"?>
<table xmlns="http://schemas.openxmlformats.org/spreadsheetml/2006/main" ref="B119:D229" displayName="tAsignaciones" name="tAsignaciones" id="10">
  <tableColumns count="3">
    <tableColumn name="Objetivo" id="1"/>
    <tableColumn name="Origen" id="2"/>
    <tableColumn name="Importe" id="3"/>
  </tableColumns>
  <tableStyleInfo name="Objetivos-style 2" showColumnStripes="0" showFirstColumn="1" showLastColumn="1" showRowStripes="1"/>
</table>
</file>

<file path=xl/tables/table11.xml><?xml version="1.0" encoding="utf-8"?>
<table xmlns="http://schemas.openxmlformats.org/spreadsheetml/2006/main" ref="B5:C10" displayName="tParametros" name="tParametros" id="11">
  <tableColumns count="2">
    <tableColumn name="Parámetro" id="1"/>
    <tableColumn name="Valor" id="2"/>
  </tableColumns>
  <tableStyleInfo name="Configuración-style" showColumnStripes="0" showFirstColumn="1" showLastColumn="1" showRowStripes="1"/>
</table>
</file>

<file path=xl/tables/table12.xml><?xml version="1.0" encoding="utf-8"?>
<table xmlns="http://schemas.openxmlformats.org/spreadsheetml/2006/main" ref="B14:E134" displayName="tCategorias" name="tCategorias" id="12">
  <tableColumns count="4">
    <tableColumn name="Grupo" id="1"/>
    <tableColumn name="Subgrupo" id="2"/>
    <tableColumn name="Categoría" id="3"/>
    <tableColumn name="Subcategoría" id="4"/>
  </tableColumns>
  <tableStyleInfo name="Configuración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51B24"/>
      </a:dk1>
      <a:lt1>
        <a:srgbClr val="EEE8DC"/>
      </a:lt1>
      <a:dk2>
        <a:srgbClr val="151B24"/>
      </a:dk2>
      <a:lt2>
        <a:srgbClr val="EEE8DC"/>
      </a:lt2>
      <a:accent1>
        <a:srgbClr val="71BBB0"/>
      </a:accent1>
      <a:accent2>
        <a:srgbClr val="E5B774"/>
      </a:accent2>
      <a:accent3>
        <a:srgbClr val="CF8779"/>
      </a:accent3>
      <a:accent4>
        <a:srgbClr val="8FB7D5"/>
      </a:accent4>
      <a:accent5>
        <a:srgbClr val="A495C6"/>
      </a:accent5>
      <a:accent6>
        <a:srgbClr val="AAB4C2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5B774"/>
    <pageSetUpPr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2" width="8.5"/>
  </cols>
  <sheetData>
    <row r="1" ht="24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4.75" customHeight="1">
      <c r="A2" s="1"/>
      <c r="B2" s="2" t="s">
        <v>20</v>
      </c>
    </row>
    <row r="3" ht="24.75" customHeight="1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24.75" customHeight="1">
      <c r="A4" s="1"/>
      <c r="B4" s="1" t="s">
        <v>21</v>
      </c>
      <c r="C4" s="1"/>
      <c r="D4" s="1"/>
      <c r="E4" s="24">
        <v>2026.0</v>
      </c>
      <c r="G4" s="1" t="s">
        <v>22</v>
      </c>
      <c r="H4" s="1"/>
      <c r="I4" s="24" t="s">
        <v>23</v>
      </c>
      <c r="M4" s="1"/>
      <c r="N4" s="1" t="s">
        <v>3</v>
      </c>
      <c r="O4" s="1"/>
      <c r="P4" s="1"/>
      <c r="Q4" s="24" t="s">
        <v>24</v>
      </c>
    </row>
    <row r="5" ht="24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24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24.75" customHeight="1">
      <c r="A7" s="1"/>
      <c r="B7" s="25" t="s">
        <v>25</v>
      </c>
      <c r="C7" s="26"/>
      <c r="D7" s="26"/>
      <c r="E7" s="26"/>
      <c r="F7" s="26"/>
      <c r="G7" s="1"/>
      <c r="H7" s="27" t="s">
        <v>26</v>
      </c>
      <c r="I7" s="28"/>
      <c r="J7" s="28"/>
      <c r="K7" s="28"/>
      <c r="L7" s="1"/>
      <c r="M7" s="29" t="s">
        <v>27</v>
      </c>
      <c r="N7" s="30"/>
      <c r="O7" s="30"/>
      <c r="P7" s="30"/>
      <c r="Q7" s="30"/>
      <c r="R7" s="1"/>
      <c r="S7" s="31" t="s">
        <v>28</v>
      </c>
      <c r="T7" s="32"/>
      <c r="U7" s="32"/>
      <c r="V7" s="32"/>
    </row>
    <row r="8" ht="24.75" customHeight="1">
      <c r="A8" s="1"/>
      <c r="B8" s="33">
        <f>IF(COUNT('Cálculos'!D5)=0,"",SUM(tCuentas[Saldo calculado])+'Cálculos'!D5+'Cálculos'!C5-SUM(tDeudas[Saldo pendiente]))</f>
        <v>0</v>
      </c>
      <c r="G8" s="1"/>
      <c r="H8" s="33">
        <f>SUM(tCuentas[Saldo calculado])</f>
        <v>0</v>
      </c>
      <c r="L8" s="1"/>
      <c r="M8" s="33">
        <f>'Cálculos'!D5</f>
        <v>0</v>
      </c>
      <c r="R8" s="1"/>
      <c r="S8" s="33">
        <f>SUM(tDeudas[Saldo pendiente])</f>
        <v>0</v>
      </c>
    </row>
    <row r="9" ht="24.75" customHeight="1">
      <c r="A9" s="1"/>
      <c r="G9" s="1"/>
      <c r="L9" s="1"/>
      <c r="R9" s="1"/>
    </row>
    <row r="10" ht="24.75" customHeight="1">
      <c r="A10" s="1"/>
      <c r="G10" s="1"/>
      <c r="L10" s="1"/>
      <c r="R10" s="1"/>
    </row>
    <row r="11" ht="24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24.75" customHeight="1">
      <c r="A12" s="1"/>
      <c r="B12" s="27" t="s">
        <v>29</v>
      </c>
      <c r="C12" s="28"/>
      <c r="D12" s="28"/>
      <c r="E12" s="28"/>
      <c r="F12" s="28"/>
      <c r="G12" s="1"/>
      <c r="H12" s="31" t="s">
        <v>30</v>
      </c>
      <c r="I12" s="32"/>
      <c r="J12" s="32"/>
      <c r="K12" s="32"/>
      <c r="L12" s="32"/>
      <c r="M12" s="1"/>
      <c r="N12" s="25" t="s">
        <v>31</v>
      </c>
      <c r="O12" s="26"/>
      <c r="P12" s="26"/>
      <c r="Q12" s="26"/>
      <c r="R12" s="26"/>
      <c r="S12" s="1"/>
      <c r="T12" s="29" t="s">
        <v>33</v>
      </c>
      <c r="U12" s="30"/>
      <c r="V12" s="30"/>
    </row>
    <row r="13" ht="24.75" customHeight="1">
      <c r="A13" s="1"/>
      <c r="B13" s="33">
        <f>'Cálculos'!E4</f>
        <v>0</v>
      </c>
      <c r="G13" s="1"/>
      <c r="H13" s="33">
        <f>'Cálculos'!F4</f>
        <v>0</v>
      </c>
      <c r="M13" s="1"/>
      <c r="N13" s="33">
        <f>'Cálculos'!G4</f>
        <v>0</v>
      </c>
      <c r="S13" s="1"/>
      <c r="T13" s="35">
        <f>IF('Cálculos'!H4="",0,'Cálculos'!H4)</f>
        <v>0</v>
      </c>
    </row>
    <row r="14" ht="24.75" customHeight="1">
      <c r="A14" s="1"/>
      <c r="G14" s="1"/>
      <c r="M14" s="1"/>
      <c r="S14" s="1"/>
    </row>
    <row r="15" ht="24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24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24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24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24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24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24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24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24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24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24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24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24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24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24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24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24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24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24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24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24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24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24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24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ht="24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24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ht="24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ht="24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ht="24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ht="24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ht="24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ht="24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24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ht="24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ht="24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ht="24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24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24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30.0" customHeight="1">
      <c r="A53" s="1"/>
      <c r="B53" s="37" t="s">
        <v>39</v>
      </c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24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34.5" customHeight="1">
      <c r="A55" s="1"/>
      <c r="B55" s="38" t="s">
        <v>41</v>
      </c>
      <c r="D55" s="38" t="s">
        <v>29</v>
      </c>
      <c r="F55" s="38" t="s">
        <v>42</v>
      </c>
      <c r="H55" s="38" t="s">
        <v>31</v>
      </c>
      <c r="J55" s="38" t="s">
        <v>26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24.75" customHeight="1">
      <c r="A56" s="1"/>
      <c r="B56" s="1" t="str">
        <f>CHOOSE(MONTH('Cálculos'!B135),"ene","feb","mar","abr","may","jun","jul","ago","sep","oct","nov","dic")&amp;" "&amp;YEAR('Cálculos'!B135)</f>
        <v>ene 2026</v>
      </c>
      <c r="D56" s="39">
        <f>IF(COUNT('Cálculos'!C135)=0,"",'Cálculos'!C135)</f>
        <v>0</v>
      </c>
      <c r="F56" s="39">
        <f>IF(COUNT('Cálculos'!D135)=0,"",'Cálculos'!D135)</f>
        <v>0</v>
      </c>
      <c r="H56" s="39">
        <f>IF(COUNT('Cálculos'!E135)=0,"",'Cálculos'!E135)</f>
        <v>0</v>
      </c>
      <c r="J56" s="39">
        <f>IF(COUNT('Cálculos'!F135)=0,"",'Cálculos'!F135)</f>
        <v>0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24.75" customHeight="1">
      <c r="A57" s="1"/>
      <c r="B57" s="1" t="str">
        <f>CHOOSE(MONTH('Cálculos'!B136),"ene","feb","mar","abr","may","jun","jul","ago","sep","oct","nov","dic")&amp;" "&amp;YEAR('Cálculos'!B136)</f>
        <v>feb 2026</v>
      </c>
      <c r="D57" s="39" t="str">
        <f>IF(COUNT('Cálculos'!C136)=0,"",'Cálculos'!C136)</f>
        <v/>
      </c>
      <c r="F57" s="39" t="str">
        <f>IF(COUNT('Cálculos'!D136)=0,"",'Cálculos'!D136)</f>
        <v/>
      </c>
      <c r="H57" s="39" t="str">
        <f>IF(COUNT('Cálculos'!E136)=0,"",'Cálculos'!E136)</f>
        <v/>
      </c>
      <c r="J57" s="39" t="str">
        <f>IF(COUNT('Cálculos'!F136)=0,"",'Cálculos'!F136)</f>
        <v/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24.75" customHeight="1">
      <c r="A58" s="1"/>
      <c r="B58" s="1" t="str">
        <f>CHOOSE(MONTH('Cálculos'!B137),"ene","feb","mar","abr","may","jun","jul","ago","sep","oct","nov","dic")&amp;" "&amp;YEAR('Cálculos'!B137)</f>
        <v>mar 2026</v>
      </c>
      <c r="D58" s="39" t="str">
        <f>IF(COUNT('Cálculos'!C137)=0,"",'Cálculos'!C137)</f>
        <v/>
      </c>
      <c r="F58" s="39" t="str">
        <f>IF(COUNT('Cálculos'!D137)=0,"",'Cálculos'!D137)</f>
        <v/>
      </c>
      <c r="H58" s="39" t="str">
        <f>IF(COUNT('Cálculos'!E137)=0,"",'Cálculos'!E137)</f>
        <v/>
      </c>
      <c r="J58" s="39" t="str">
        <f>IF(COUNT('Cálculos'!F137)=0,"",'Cálculos'!F137)</f>
        <v/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24.75" customHeight="1">
      <c r="A59" s="1"/>
      <c r="B59" s="1" t="str">
        <f>CHOOSE(MONTH('Cálculos'!B138),"ene","feb","mar","abr","may","jun","jul","ago","sep","oct","nov","dic")&amp;" "&amp;YEAR('Cálculos'!B138)</f>
        <v>abr 2026</v>
      </c>
      <c r="D59" s="39" t="str">
        <f>IF(COUNT('Cálculos'!C138)=0,"",'Cálculos'!C138)</f>
        <v/>
      </c>
      <c r="F59" s="39" t="str">
        <f>IF(COUNT('Cálculos'!D138)=0,"",'Cálculos'!D138)</f>
        <v/>
      </c>
      <c r="H59" s="39" t="str">
        <f>IF(COUNT('Cálculos'!E138)=0,"",'Cálculos'!E138)</f>
        <v/>
      </c>
      <c r="J59" s="39" t="str">
        <f>IF(COUNT('Cálculos'!F138)=0,"",'Cálculos'!F138)</f>
        <v/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24.75" customHeight="1">
      <c r="A60" s="1"/>
      <c r="B60" s="1" t="str">
        <f>CHOOSE(MONTH('Cálculos'!B139),"ene","feb","mar","abr","may","jun","jul","ago","sep","oct","nov","dic")&amp;" "&amp;YEAR('Cálculos'!B139)</f>
        <v>may 2026</v>
      </c>
      <c r="D60" s="39" t="str">
        <f>IF(COUNT('Cálculos'!C139)=0,"",'Cálculos'!C139)</f>
        <v/>
      </c>
      <c r="F60" s="39" t="str">
        <f>IF(COUNT('Cálculos'!D139)=0,"",'Cálculos'!D139)</f>
        <v/>
      </c>
      <c r="H60" s="39" t="str">
        <f>IF(COUNT('Cálculos'!E139)=0,"",'Cálculos'!E139)</f>
        <v/>
      </c>
      <c r="J60" s="39" t="str">
        <f>IF(COUNT('Cálculos'!F139)=0,"",'Cálculos'!F139)</f>
        <v/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24.75" customHeight="1">
      <c r="A61" s="1"/>
      <c r="B61" s="1" t="str">
        <f>CHOOSE(MONTH('Cálculos'!B140),"ene","feb","mar","abr","may","jun","jul","ago","sep","oct","nov","dic")&amp;" "&amp;YEAR('Cálculos'!B140)</f>
        <v>jun 2026</v>
      </c>
      <c r="D61" s="39" t="str">
        <f>IF(COUNT('Cálculos'!C140)=0,"",'Cálculos'!C140)</f>
        <v/>
      </c>
      <c r="F61" s="39" t="str">
        <f>IF(COUNT('Cálculos'!D140)=0,"",'Cálculos'!D140)</f>
        <v/>
      </c>
      <c r="H61" s="39" t="str">
        <f>IF(COUNT('Cálculos'!E140)=0,"",'Cálculos'!E140)</f>
        <v/>
      </c>
      <c r="J61" s="39" t="str">
        <f>IF(COUNT('Cálculos'!F140)=0,"",'Cálculos'!F140)</f>
        <v/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24.75" customHeight="1">
      <c r="A62" s="1"/>
      <c r="B62" s="1" t="str">
        <f>CHOOSE(MONTH('Cálculos'!B141),"ene","feb","mar","abr","may","jun","jul","ago","sep","oct","nov","dic")&amp;" "&amp;YEAR('Cálculos'!B141)</f>
        <v>jul 2026</v>
      </c>
      <c r="D62" s="39" t="str">
        <f>IF(COUNT('Cálculos'!C141)=0,"",'Cálculos'!C141)</f>
        <v/>
      </c>
      <c r="F62" s="39" t="str">
        <f>IF(COUNT('Cálculos'!D141)=0,"",'Cálculos'!D141)</f>
        <v/>
      </c>
      <c r="H62" s="39" t="str">
        <f>IF(COUNT('Cálculos'!E141)=0,"",'Cálculos'!E141)</f>
        <v/>
      </c>
      <c r="J62" s="39" t="str">
        <f>IF(COUNT('Cálculos'!F141)=0,"",'Cálculos'!F141)</f>
        <v/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24.75" customHeight="1">
      <c r="A63" s="1"/>
      <c r="B63" s="1" t="str">
        <f>CHOOSE(MONTH('Cálculos'!B142),"ene","feb","mar","abr","may","jun","jul","ago","sep","oct","nov","dic")&amp;" "&amp;YEAR('Cálculos'!B142)</f>
        <v>ago 2026</v>
      </c>
      <c r="D63" s="39" t="str">
        <f>IF(COUNT('Cálculos'!C142)=0,"",'Cálculos'!C142)</f>
        <v/>
      </c>
      <c r="F63" s="39" t="str">
        <f>IF(COUNT('Cálculos'!D142)=0,"",'Cálculos'!D142)</f>
        <v/>
      </c>
      <c r="H63" s="39" t="str">
        <f>IF(COUNT('Cálculos'!E142)=0,"",'Cálculos'!E142)</f>
        <v/>
      </c>
      <c r="J63" s="39" t="str">
        <f>IF(COUNT('Cálculos'!F142)=0,"",'Cálculos'!F142)</f>
        <v/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24.75" customHeight="1">
      <c r="A64" s="1"/>
      <c r="B64" s="1" t="str">
        <f>CHOOSE(MONTH('Cálculos'!B143),"ene","feb","mar","abr","may","jun","jul","ago","sep","oct","nov","dic")&amp;" "&amp;YEAR('Cálculos'!B143)</f>
        <v>sep 2026</v>
      </c>
      <c r="D64" s="39" t="str">
        <f>IF(COUNT('Cálculos'!C143)=0,"",'Cálculos'!C143)</f>
        <v/>
      </c>
      <c r="F64" s="39" t="str">
        <f>IF(COUNT('Cálculos'!D143)=0,"",'Cálculos'!D143)</f>
        <v/>
      </c>
      <c r="H64" s="39" t="str">
        <f>IF(COUNT('Cálculos'!E143)=0,"",'Cálculos'!E143)</f>
        <v/>
      </c>
      <c r="J64" s="39" t="str">
        <f>IF(COUNT('Cálculos'!F143)=0,"",'Cálculos'!F143)</f>
        <v/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24.75" customHeight="1">
      <c r="A65" s="1"/>
      <c r="B65" s="1" t="str">
        <f>CHOOSE(MONTH('Cálculos'!B144),"ene","feb","mar","abr","may","jun","jul","ago","sep","oct","nov","dic")&amp;" "&amp;YEAR('Cálculos'!B144)</f>
        <v>oct 2026</v>
      </c>
      <c r="D65" s="39" t="str">
        <f>IF(COUNT('Cálculos'!C144)=0,"",'Cálculos'!C144)</f>
        <v/>
      </c>
      <c r="F65" s="39" t="str">
        <f>IF(COUNT('Cálculos'!D144)=0,"",'Cálculos'!D144)</f>
        <v/>
      </c>
      <c r="H65" s="39" t="str">
        <f>IF(COUNT('Cálculos'!E144)=0,"",'Cálculos'!E144)</f>
        <v/>
      </c>
      <c r="J65" s="39" t="str">
        <f>IF(COUNT('Cálculos'!F144)=0,"",'Cálculos'!F144)</f>
        <v/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24.75" customHeight="1">
      <c r="A66" s="1"/>
      <c r="B66" s="1" t="str">
        <f>CHOOSE(MONTH('Cálculos'!B145),"ene","feb","mar","abr","may","jun","jul","ago","sep","oct","nov","dic")&amp;" "&amp;YEAR('Cálculos'!B145)</f>
        <v>nov 2026</v>
      </c>
      <c r="D66" s="39" t="str">
        <f>IF(COUNT('Cálculos'!C145)=0,"",'Cálculos'!C145)</f>
        <v/>
      </c>
      <c r="F66" s="39" t="str">
        <f>IF(COUNT('Cálculos'!D145)=0,"",'Cálculos'!D145)</f>
        <v/>
      </c>
      <c r="H66" s="39" t="str">
        <f>IF(COUNT('Cálculos'!E145)=0,"",'Cálculos'!E145)</f>
        <v/>
      </c>
      <c r="J66" s="39" t="str">
        <f>IF(COUNT('Cálculos'!F145)=0,"",'Cálculos'!F145)</f>
        <v/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24.75" customHeight="1">
      <c r="A67" s="1"/>
      <c r="B67" s="1" t="str">
        <f>CHOOSE(MONTH('Cálculos'!B146),"ene","feb","mar","abr","may","jun","jul","ago","sep","oct","nov","dic")&amp;" "&amp;YEAR('Cálculos'!B146)</f>
        <v>dic 2026</v>
      </c>
      <c r="D67" s="39" t="str">
        <f>IF(COUNT('Cálculos'!C146)=0,"",'Cálculos'!C146)</f>
        <v/>
      </c>
      <c r="F67" s="39" t="str">
        <f>IF(COUNT('Cálculos'!D146)=0,"",'Cálculos'!D146)</f>
        <v/>
      </c>
      <c r="H67" s="39" t="str">
        <f>IF(COUNT('Cálculos'!E146)=0,"",'Cálculos'!E146)</f>
        <v/>
      </c>
      <c r="J67" s="39" t="str">
        <f>IF(COUNT('Cálculos'!F146)=0,"",'Cálculos'!F146)</f>
        <v/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24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24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24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24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24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24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24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24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6">
    <mergeCell ref="H57:I57"/>
    <mergeCell ref="J57:K57"/>
    <mergeCell ref="H58:I58"/>
    <mergeCell ref="J58:K58"/>
    <mergeCell ref="H59:I59"/>
    <mergeCell ref="J59:K59"/>
    <mergeCell ref="D57:E57"/>
    <mergeCell ref="F57:G57"/>
    <mergeCell ref="B58:C58"/>
    <mergeCell ref="D58:E58"/>
    <mergeCell ref="F58:G58"/>
    <mergeCell ref="D59:E59"/>
    <mergeCell ref="F59:G59"/>
    <mergeCell ref="F62:G62"/>
    <mergeCell ref="H62:I62"/>
    <mergeCell ref="B61:C61"/>
    <mergeCell ref="D61:E61"/>
    <mergeCell ref="F61:G61"/>
    <mergeCell ref="H61:I61"/>
    <mergeCell ref="J61:K61"/>
    <mergeCell ref="D62:E62"/>
    <mergeCell ref="J62:K62"/>
    <mergeCell ref="H64:I64"/>
    <mergeCell ref="J64:K64"/>
    <mergeCell ref="H65:I65"/>
    <mergeCell ref="J65:K65"/>
    <mergeCell ref="H66:I66"/>
    <mergeCell ref="J66:K66"/>
    <mergeCell ref="B62:C62"/>
    <mergeCell ref="B63:C63"/>
    <mergeCell ref="D63:E63"/>
    <mergeCell ref="F63:G63"/>
    <mergeCell ref="H63:I63"/>
    <mergeCell ref="J63:K63"/>
    <mergeCell ref="B64:C64"/>
    <mergeCell ref="B66:C66"/>
    <mergeCell ref="B67:C67"/>
    <mergeCell ref="D67:E67"/>
    <mergeCell ref="F67:G67"/>
    <mergeCell ref="H67:I67"/>
    <mergeCell ref="J67:K67"/>
    <mergeCell ref="D64:E64"/>
    <mergeCell ref="F64:G64"/>
    <mergeCell ref="B65:C65"/>
    <mergeCell ref="D65:E65"/>
    <mergeCell ref="F65:G65"/>
    <mergeCell ref="D66:E66"/>
    <mergeCell ref="F66:G66"/>
    <mergeCell ref="B2:V2"/>
    <mergeCell ref="E4:F4"/>
    <mergeCell ref="I4:L4"/>
    <mergeCell ref="Q4:V4"/>
    <mergeCell ref="H7:K7"/>
    <mergeCell ref="M7:Q7"/>
    <mergeCell ref="S7:V7"/>
    <mergeCell ref="N12:R12"/>
    <mergeCell ref="T12:V12"/>
    <mergeCell ref="N13:R14"/>
    <mergeCell ref="T13:V14"/>
    <mergeCell ref="B7:F7"/>
    <mergeCell ref="B8:F10"/>
    <mergeCell ref="H8:K10"/>
    <mergeCell ref="M8:Q10"/>
    <mergeCell ref="S8:V10"/>
    <mergeCell ref="B12:F12"/>
    <mergeCell ref="B13:F14"/>
    <mergeCell ref="H12:L12"/>
    <mergeCell ref="H13:L14"/>
    <mergeCell ref="B53:L53"/>
    <mergeCell ref="D55:E55"/>
    <mergeCell ref="F55:G55"/>
    <mergeCell ref="H55:I55"/>
    <mergeCell ref="J55:K55"/>
    <mergeCell ref="B55:C55"/>
    <mergeCell ref="B56:C56"/>
    <mergeCell ref="D56:E56"/>
    <mergeCell ref="F56:G56"/>
    <mergeCell ref="H56:I56"/>
    <mergeCell ref="J56:K56"/>
    <mergeCell ref="B57:C57"/>
    <mergeCell ref="B59:C59"/>
    <mergeCell ref="B60:C60"/>
    <mergeCell ref="D60:E60"/>
    <mergeCell ref="F60:G60"/>
    <mergeCell ref="H60:I60"/>
    <mergeCell ref="J60:K60"/>
  </mergeCells>
  <dataValidations>
    <dataValidation type="list" allowBlank="1" sqref="Q4">
      <formula1>ListaFiltroCuentas</formula1>
    </dataValidation>
    <dataValidation type="list" allowBlank="1" sqref="I4">
      <formula1>"Todo el año,Enero,Febrero,Marzo,Abril,Mayo,Junio,Julio,Agosto,Septiembre,Octubre,Noviembre,Diciembre"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4252"/>
    <pageSetUpPr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24.0"/>
    <col customWidth="1" min="3" max="3" width="14.0"/>
    <col customWidth="1" min="4" max="4" width="24.0"/>
    <col customWidth="1" min="5" max="5" width="32.0"/>
    <col customWidth="1" min="6" max="8" width="20.0"/>
    <col customWidth="1" min="9" max="12" width="16.0"/>
  </cols>
  <sheetData>
    <row r="1" ht="24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4.75" customHeight="1">
      <c r="A2" s="1"/>
      <c r="B2" s="2" t="s">
        <v>0</v>
      </c>
      <c r="K2" s="1"/>
    </row>
    <row r="3" ht="24.75" customHeight="1">
      <c r="A3" s="1"/>
      <c r="B3" s="3"/>
      <c r="C3" s="3"/>
      <c r="D3" s="3"/>
      <c r="E3" s="3"/>
      <c r="F3" s="3"/>
      <c r="G3" s="3"/>
      <c r="H3" s="3"/>
      <c r="I3" s="3"/>
      <c r="J3" s="3"/>
      <c r="K3" s="3"/>
    </row>
    <row r="4" ht="24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4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24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ht="37.5" customHeight="1">
      <c r="A8" s="1"/>
      <c r="B8" s="4" t="s">
        <v>2</v>
      </c>
      <c r="C8" s="4" t="s">
        <v>4</v>
      </c>
      <c r="D8" s="4" t="s">
        <v>6</v>
      </c>
      <c r="E8" s="4" t="s">
        <v>7</v>
      </c>
      <c r="F8" s="4" t="s">
        <v>9</v>
      </c>
      <c r="G8" s="4" t="s">
        <v>11</v>
      </c>
      <c r="H8" s="4" t="s">
        <v>13</v>
      </c>
      <c r="I8" s="4" t="s">
        <v>14</v>
      </c>
      <c r="J8" s="4" t="s">
        <v>16</v>
      </c>
      <c r="K8" s="4" t="s">
        <v>17</v>
      </c>
      <c r="L8" s="4" t="s">
        <v>19</v>
      </c>
    </row>
    <row r="9" ht="27.75" customHeight="1">
      <c r="A9" s="1"/>
      <c r="B9" s="5"/>
      <c r="C9" s="7"/>
      <c r="D9" s="8"/>
      <c r="E9" s="5"/>
      <c r="F9" s="5"/>
      <c r="G9" s="5"/>
      <c r="H9" s="5"/>
      <c r="I9" s="6"/>
      <c r="J9" s="6"/>
      <c r="K9" s="6"/>
      <c r="L9" s="6"/>
    </row>
    <row r="10" ht="27.75" customHeight="1">
      <c r="A10" s="1"/>
      <c r="B10" s="10"/>
      <c r="C10" s="11"/>
      <c r="D10" s="12"/>
      <c r="E10" s="10"/>
      <c r="F10" s="10"/>
      <c r="G10" s="10"/>
      <c r="H10" s="10"/>
      <c r="I10" s="13"/>
      <c r="J10" s="13"/>
      <c r="K10" s="13"/>
      <c r="L10" s="13"/>
    </row>
    <row r="11" ht="27.75" customHeight="1">
      <c r="A11" s="1"/>
      <c r="B11" s="5"/>
      <c r="C11" s="7"/>
      <c r="D11" s="8"/>
      <c r="E11" s="5"/>
      <c r="F11" s="5"/>
      <c r="G11" s="5"/>
      <c r="H11" s="5"/>
      <c r="I11" s="6"/>
      <c r="J11" s="6"/>
      <c r="K11" s="6"/>
      <c r="L11" s="6"/>
    </row>
    <row r="12" ht="27.75" customHeight="1">
      <c r="A12" s="1"/>
      <c r="B12" s="10"/>
      <c r="C12" s="11"/>
      <c r="D12" s="12"/>
      <c r="E12" s="10"/>
      <c r="F12" s="10"/>
      <c r="G12" s="10"/>
      <c r="H12" s="10"/>
      <c r="I12" s="13"/>
      <c r="J12" s="13"/>
      <c r="K12" s="13"/>
      <c r="L12" s="13"/>
    </row>
    <row r="13" ht="27.75" customHeight="1">
      <c r="A13" s="1"/>
      <c r="B13" s="5"/>
      <c r="C13" s="15"/>
      <c r="D13" s="8"/>
      <c r="E13" s="5"/>
      <c r="F13" s="5"/>
      <c r="G13" s="5"/>
      <c r="H13" s="5"/>
      <c r="I13" s="6"/>
      <c r="J13" s="6"/>
      <c r="K13" s="6"/>
      <c r="L13" s="6"/>
    </row>
    <row r="14" ht="27.75" customHeight="1">
      <c r="A14" s="1"/>
      <c r="B14" s="10"/>
      <c r="C14" s="11"/>
      <c r="D14" s="12"/>
      <c r="E14" s="10"/>
      <c r="F14" s="10"/>
      <c r="G14" s="10"/>
      <c r="H14" s="10"/>
      <c r="I14" s="13"/>
      <c r="J14" s="13"/>
      <c r="K14" s="13"/>
      <c r="L14" s="13"/>
    </row>
    <row r="15" ht="27.75" customHeight="1">
      <c r="A15" s="1"/>
      <c r="B15" s="5"/>
      <c r="C15" s="7"/>
      <c r="D15" s="8"/>
      <c r="E15" s="5"/>
      <c r="F15" s="5"/>
      <c r="G15" s="5"/>
      <c r="H15" s="5"/>
      <c r="I15" s="6"/>
      <c r="J15" s="6"/>
      <c r="K15" s="6"/>
      <c r="L15" s="6"/>
    </row>
    <row r="16" ht="27.75" customHeight="1">
      <c r="A16" s="1"/>
      <c r="B16" s="16"/>
      <c r="C16" s="17"/>
      <c r="D16" s="18"/>
      <c r="E16" s="16"/>
      <c r="F16" s="16"/>
      <c r="G16" s="16"/>
      <c r="H16" s="16"/>
      <c r="I16" s="19"/>
      <c r="J16" s="19"/>
      <c r="K16" s="19"/>
      <c r="L16" s="19"/>
    </row>
    <row r="17" ht="27.75" customHeight="1">
      <c r="A17" s="1"/>
      <c r="B17" s="20"/>
      <c r="C17" s="21"/>
      <c r="D17" s="22"/>
      <c r="E17" s="20"/>
      <c r="F17" s="20"/>
      <c r="G17" s="20"/>
      <c r="H17" s="5"/>
      <c r="I17" s="23"/>
      <c r="J17" s="23"/>
      <c r="K17" s="23"/>
      <c r="L17" s="23"/>
    </row>
    <row r="18" ht="27.75" customHeight="1">
      <c r="A18" s="1"/>
      <c r="B18" s="10"/>
      <c r="C18" s="11"/>
      <c r="D18" s="12"/>
      <c r="E18" s="10"/>
      <c r="F18" s="10"/>
      <c r="G18" s="10"/>
      <c r="H18" s="10"/>
      <c r="I18" s="13"/>
      <c r="J18" s="13"/>
      <c r="K18" s="13"/>
      <c r="L18" s="13"/>
    </row>
    <row r="19" ht="27.75" customHeight="1">
      <c r="A19" s="1"/>
      <c r="B19" s="5"/>
      <c r="C19" s="7"/>
      <c r="D19" s="8"/>
      <c r="E19" s="5"/>
      <c r="F19" s="5"/>
      <c r="G19" s="5"/>
      <c r="H19" s="5"/>
      <c r="I19" s="6"/>
      <c r="J19" s="6"/>
      <c r="K19" s="6"/>
      <c r="L19" s="6"/>
    </row>
    <row r="20" ht="27.75" customHeight="1">
      <c r="A20" s="1"/>
      <c r="B20" s="10"/>
      <c r="C20" s="11"/>
      <c r="D20" s="12"/>
      <c r="E20" s="10"/>
      <c r="F20" s="10"/>
      <c r="G20" s="10"/>
      <c r="H20" s="10"/>
      <c r="I20" s="13"/>
      <c r="J20" s="13"/>
      <c r="K20" s="13"/>
      <c r="L20" s="13"/>
    </row>
    <row r="21" ht="27.75" customHeight="1">
      <c r="A21" s="1"/>
      <c r="B21" s="5"/>
      <c r="C21" s="7"/>
      <c r="D21" s="8"/>
      <c r="E21" s="5"/>
      <c r="F21" s="5"/>
      <c r="G21" s="5"/>
      <c r="H21" s="5"/>
      <c r="I21" s="6"/>
      <c r="J21" s="6"/>
      <c r="K21" s="6"/>
      <c r="L21" s="6"/>
    </row>
    <row r="22" ht="27.75" customHeight="1">
      <c r="A22" s="1"/>
      <c r="B22" s="10"/>
      <c r="C22" s="11"/>
      <c r="D22" s="12"/>
      <c r="E22" s="10"/>
      <c r="F22" s="10"/>
      <c r="G22" s="10"/>
      <c r="H22" s="10"/>
      <c r="I22" s="13"/>
      <c r="J22" s="13"/>
      <c r="K22" s="13"/>
      <c r="L22" s="13"/>
    </row>
    <row r="23" ht="27.75" customHeight="1">
      <c r="A23" s="1"/>
      <c r="B23" s="5"/>
      <c r="C23" s="7"/>
      <c r="D23" s="8"/>
      <c r="E23" s="5"/>
      <c r="F23" s="5"/>
      <c r="G23" s="5"/>
      <c r="H23" s="5"/>
      <c r="I23" s="6"/>
      <c r="J23" s="6"/>
      <c r="K23" s="6"/>
      <c r="L23" s="6"/>
    </row>
    <row r="24" ht="27.75" customHeight="1">
      <c r="A24" s="1"/>
      <c r="B24" s="10"/>
      <c r="C24" s="11"/>
      <c r="D24" s="12"/>
      <c r="E24" s="10"/>
      <c r="F24" s="10"/>
      <c r="G24" s="10"/>
      <c r="H24" s="10"/>
      <c r="I24" s="13"/>
      <c r="J24" s="13"/>
      <c r="K24" s="13"/>
      <c r="L24" s="13"/>
    </row>
    <row r="25" ht="27.75" customHeight="1">
      <c r="A25" s="1"/>
      <c r="B25" s="5"/>
      <c r="C25" s="7"/>
      <c r="D25" s="8"/>
      <c r="E25" s="5"/>
      <c r="F25" s="5"/>
      <c r="G25" s="5"/>
      <c r="H25" s="5"/>
      <c r="I25" s="6"/>
      <c r="J25" s="6"/>
      <c r="K25" s="6"/>
      <c r="L25" s="6"/>
    </row>
    <row r="26" ht="27.75" customHeight="1">
      <c r="A26" s="1"/>
      <c r="B26" s="10"/>
      <c r="C26" s="11"/>
      <c r="D26" s="12"/>
      <c r="E26" s="10"/>
      <c r="F26" s="10"/>
      <c r="G26" s="10"/>
      <c r="H26" s="10"/>
      <c r="I26" s="13"/>
      <c r="J26" s="13"/>
      <c r="K26" s="13"/>
      <c r="L26" s="13"/>
    </row>
    <row r="27" ht="27.75" customHeight="1">
      <c r="A27" s="1"/>
      <c r="B27" s="5"/>
      <c r="C27" s="7"/>
      <c r="D27" s="8"/>
      <c r="E27" s="5"/>
      <c r="F27" s="5"/>
      <c r="G27" s="5"/>
      <c r="H27" s="5"/>
      <c r="I27" s="6"/>
      <c r="J27" s="6"/>
      <c r="K27" s="6"/>
      <c r="L27" s="6"/>
    </row>
    <row r="28" ht="27.75" customHeight="1">
      <c r="A28" s="1"/>
      <c r="B28" s="10"/>
      <c r="C28" s="11"/>
      <c r="D28" s="12"/>
      <c r="E28" s="10"/>
      <c r="F28" s="10"/>
      <c r="G28" s="10"/>
      <c r="H28" s="10"/>
      <c r="I28" s="13"/>
      <c r="J28" s="13"/>
      <c r="K28" s="13"/>
      <c r="L28" s="13"/>
    </row>
    <row r="29" ht="27.75" customHeight="1">
      <c r="A29" s="1"/>
      <c r="B29" s="10"/>
      <c r="C29" s="11"/>
      <c r="D29" s="12"/>
      <c r="E29" s="10"/>
      <c r="F29" s="10"/>
      <c r="G29" s="10"/>
      <c r="H29" s="10"/>
      <c r="I29" s="13"/>
      <c r="J29" s="13"/>
      <c r="K29" s="13"/>
      <c r="L29" s="13"/>
    </row>
    <row r="30" ht="27.75" customHeight="1">
      <c r="A30" s="1"/>
      <c r="B30" s="10"/>
      <c r="C30" s="11"/>
      <c r="D30" s="12"/>
      <c r="E30" s="10"/>
      <c r="F30" s="10"/>
      <c r="G30" s="10"/>
      <c r="H30" s="10"/>
      <c r="I30" s="13"/>
      <c r="J30" s="13"/>
      <c r="K30" s="13"/>
      <c r="L30" s="13"/>
    </row>
    <row r="31" ht="27.75" customHeight="1">
      <c r="A31" s="1"/>
      <c r="B31" s="10"/>
      <c r="C31" s="11"/>
      <c r="D31" s="12"/>
      <c r="E31" s="10"/>
      <c r="F31" s="10"/>
      <c r="G31" s="10"/>
      <c r="H31" s="10"/>
      <c r="I31" s="13"/>
      <c r="J31" s="13"/>
      <c r="K31" s="13"/>
      <c r="L31" s="13"/>
    </row>
    <row r="32" ht="27.75" customHeight="1">
      <c r="A32" s="1"/>
      <c r="B32" s="10"/>
      <c r="C32" s="11"/>
      <c r="D32" s="12"/>
      <c r="E32" s="10"/>
      <c r="F32" s="10"/>
      <c r="G32" s="10"/>
      <c r="H32" s="10"/>
      <c r="I32" s="13"/>
      <c r="J32" s="13"/>
      <c r="K32" s="13"/>
      <c r="L32" s="13"/>
    </row>
    <row r="33" ht="27.75" customHeight="1">
      <c r="A33" s="1"/>
      <c r="B33" s="10"/>
      <c r="C33" s="11"/>
      <c r="D33" s="12"/>
      <c r="E33" s="10"/>
      <c r="F33" s="10"/>
      <c r="G33" s="10"/>
      <c r="H33" s="10"/>
      <c r="I33" s="13"/>
      <c r="J33" s="13"/>
      <c r="K33" s="13"/>
      <c r="L33" s="13"/>
    </row>
    <row r="34" ht="27.75" customHeight="1">
      <c r="A34" s="1"/>
      <c r="B34" s="10"/>
      <c r="C34" s="11"/>
      <c r="D34" s="12"/>
      <c r="E34" s="10"/>
      <c r="F34" s="10"/>
      <c r="G34" s="10"/>
      <c r="H34" s="10"/>
      <c r="I34" s="13"/>
      <c r="J34" s="13"/>
      <c r="K34" s="13"/>
      <c r="L34" s="13"/>
    </row>
    <row r="35" ht="27.75" customHeight="1">
      <c r="A35" s="1"/>
      <c r="B35" s="10"/>
      <c r="C35" s="11"/>
      <c r="D35" s="12"/>
      <c r="E35" s="10"/>
      <c r="F35" s="10"/>
      <c r="G35" s="10"/>
      <c r="H35" s="10"/>
      <c r="I35" s="13"/>
      <c r="J35" s="13"/>
      <c r="K35" s="13"/>
      <c r="L35" s="13"/>
    </row>
    <row r="36" ht="27.75" customHeight="1">
      <c r="A36" s="1"/>
      <c r="B36" s="10"/>
      <c r="C36" s="11"/>
      <c r="D36" s="12"/>
      <c r="E36" s="10"/>
      <c r="F36" s="10"/>
      <c r="G36" s="10"/>
      <c r="H36" s="10"/>
      <c r="I36" s="13"/>
      <c r="J36" s="13"/>
      <c r="K36" s="13"/>
      <c r="L36" s="13"/>
    </row>
    <row r="37" ht="27.75" customHeight="1">
      <c r="A37" s="1"/>
      <c r="B37" s="10"/>
      <c r="C37" s="11"/>
      <c r="D37" s="12"/>
      <c r="E37" s="10"/>
      <c r="F37" s="10"/>
      <c r="G37" s="10"/>
      <c r="H37" s="10"/>
      <c r="I37" s="13"/>
      <c r="J37" s="13"/>
      <c r="K37" s="13"/>
      <c r="L37" s="13"/>
    </row>
    <row r="38" ht="27.75" customHeight="1">
      <c r="A38" s="1"/>
      <c r="B38" s="10"/>
      <c r="C38" s="11"/>
      <c r="D38" s="12"/>
      <c r="E38" s="10"/>
      <c r="F38" s="10"/>
      <c r="G38" s="10"/>
      <c r="H38" s="10"/>
      <c r="I38" s="13"/>
      <c r="J38" s="13"/>
      <c r="K38" s="13"/>
      <c r="L38" s="13"/>
    </row>
    <row r="39" ht="27.75" customHeight="1">
      <c r="A39" s="1"/>
      <c r="B39" s="10"/>
      <c r="C39" s="11"/>
      <c r="D39" s="12"/>
      <c r="E39" s="10"/>
      <c r="F39" s="10"/>
      <c r="G39" s="10"/>
      <c r="H39" s="10"/>
      <c r="I39" s="13"/>
      <c r="J39" s="13"/>
      <c r="K39" s="13"/>
      <c r="L39" s="13"/>
    </row>
    <row r="40" ht="27.75" customHeight="1">
      <c r="A40" s="1"/>
      <c r="B40" s="10"/>
      <c r="C40" s="11"/>
      <c r="D40" s="12"/>
      <c r="E40" s="10"/>
      <c r="F40" s="10"/>
      <c r="G40" s="10"/>
      <c r="H40" s="10"/>
      <c r="I40" s="13"/>
      <c r="J40" s="13"/>
      <c r="K40" s="13"/>
      <c r="L40" s="13"/>
    </row>
    <row r="41" ht="27.75" customHeight="1">
      <c r="A41" s="1"/>
      <c r="B41" s="10"/>
      <c r="C41" s="11"/>
      <c r="D41" s="12"/>
      <c r="E41" s="10"/>
      <c r="F41" s="10"/>
      <c r="G41" s="10"/>
      <c r="H41" s="10"/>
      <c r="I41" s="13"/>
      <c r="J41" s="13"/>
      <c r="K41" s="13"/>
      <c r="L41" s="13"/>
    </row>
    <row r="42" ht="27.75" customHeight="1">
      <c r="A42" s="1"/>
      <c r="B42" s="10"/>
      <c r="C42" s="11"/>
      <c r="D42" s="12"/>
      <c r="E42" s="10"/>
      <c r="F42" s="10"/>
      <c r="G42" s="10"/>
      <c r="H42" s="10"/>
      <c r="I42" s="13"/>
      <c r="J42" s="13"/>
      <c r="K42" s="13"/>
      <c r="L42" s="13"/>
    </row>
    <row r="43" ht="27.75" customHeight="1">
      <c r="A43" s="1"/>
      <c r="B43" s="10"/>
      <c r="C43" s="11"/>
      <c r="D43" s="12"/>
      <c r="E43" s="10"/>
      <c r="F43" s="10"/>
      <c r="G43" s="10"/>
      <c r="H43" s="10"/>
      <c r="I43" s="13"/>
      <c r="J43" s="13"/>
      <c r="K43" s="13"/>
      <c r="L43" s="13"/>
    </row>
    <row r="44" ht="27.75" customHeight="1">
      <c r="A44" s="1"/>
      <c r="B44" s="10"/>
      <c r="C44" s="11"/>
      <c r="D44" s="12"/>
      <c r="E44" s="10"/>
      <c r="F44" s="10"/>
      <c r="G44" s="10"/>
      <c r="H44" s="10"/>
      <c r="I44" s="13"/>
      <c r="J44" s="13"/>
      <c r="K44" s="13"/>
      <c r="L44" s="13"/>
    </row>
    <row r="45" ht="27.75" customHeight="1">
      <c r="A45" s="1"/>
      <c r="B45" s="10"/>
      <c r="C45" s="11"/>
      <c r="D45" s="12"/>
      <c r="E45" s="10"/>
      <c r="F45" s="10"/>
      <c r="G45" s="10"/>
      <c r="H45" s="10"/>
      <c r="I45" s="13"/>
      <c r="J45" s="13"/>
      <c r="K45" s="13"/>
      <c r="L45" s="13"/>
    </row>
    <row r="46" ht="27.75" customHeight="1">
      <c r="A46" s="1"/>
      <c r="B46" s="10"/>
      <c r="C46" s="11"/>
      <c r="D46" s="12"/>
      <c r="E46" s="10"/>
      <c r="F46" s="10"/>
      <c r="G46" s="10"/>
      <c r="H46" s="10"/>
      <c r="I46" s="13"/>
      <c r="J46" s="13"/>
      <c r="K46" s="13"/>
      <c r="L46" s="13"/>
    </row>
    <row r="47" ht="27.75" customHeight="1">
      <c r="A47" s="1"/>
      <c r="B47" s="10"/>
      <c r="C47" s="11"/>
      <c r="D47" s="12"/>
      <c r="E47" s="10"/>
      <c r="F47" s="10"/>
      <c r="G47" s="10"/>
      <c r="H47" s="10"/>
      <c r="I47" s="13"/>
      <c r="J47" s="13"/>
      <c r="K47" s="13"/>
      <c r="L47" s="13"/>
    </row>
    <row r="48" ht="27.75" customHeight="1">
      <c r="A48" s="1"/>
      <c r="B48" s="10"/>
      <c r="C48" s="11"/>
      <c r="D48" s="12"/>
      <c r="E48" s="10"/>
      <c r="F48" s="10"/>
      <c r="G48" s="10"/>
      <c r="H48" s="10"/>
      <c r="I48" s="13"/>
      <c r="J48" s="13"/>
      <c r="K48" s="13"/>
      <c r="L48" s="13"/>
    </row>
    <row r="49" ht="27.75" customHeight="1">
      <c r="A49" s="1"/>
      <c r="B49" s="10"/>
      <c r="C49" s="11"/>
      <c r="D49" s="12"/>
      <c r="E49" s="10"/>
      <c r="F49" s="10"/>
      <c r="G49" s="10"/>
      <c r="H49" s="10"/>
      <c r="I49" s="13"/>
      <c r="J49" s="13"/>
      <c r="K49" s="13"/>
      <c r="L49" s="13"/>
    </row>
    <row r="50" ht="27.75" customHeight="1">
      <c r="A50" s="1"/>
      <c r="B50" s="10"/>
      <c r="C50" s="11"/>
      <c r="D50" s="12"/>
      <c r="E50" s="10"/>
      <c r="F50" s="10"/>
      <c r="G50" s="10"/>
      <c r="H50" s="10"/>
      <c r="I50" s="13"/>
      <c r="J50" s="13"/>
      <c r="K50" s="13"/>
      <c r="L50" s="13"/>
    </row>
    <row r="51" ht="27.75" customHeight="1">
      <c r="A51" s="1"/>
      <c r="B51" s="10"/>
      <c r="C51" s="11"/>
      <c r="D51" s="12"/>
      <c r="E51" s="10"/>
      <c r="F51" s="10"/>
      <c r="G51" s="10"/>
      <c r="H51" s="10"/>
      <c r="I51" s="13"/>
      <c r="J51" s="13"/>
      <c r="K51" s="13"/>
      <c r="L51" s="13"/>
    </row>
    <row r="52" ht="27.75" customHeight="1">
      <c r="A52" s="1"/>
      <c r="B52" s="10"/>
      <c r="C52" s="11"/>
      <c r="D52" s="12"/>
      <c r="E52" s="10"/>
      <c r="F52" s="10"/>
      <c r="G52" s="10"/>
      <c r="H52" s="10"/>
      <c r="I52" s="13"/>
      <c r="J52" s="13"/>
      <c r="K52" s="13"/>
      <c r="L52" s="13"/>
    </row>
    <row r="53" ht="27.75" customHeight="1">
      <c r="A53" s="1"/>
      <c r="B53" s="10"/>
      <c r="C53" s="11"/>
      <c r="D53" s="12"/>
      <c r="E53" s="10"/>
      <c r="F53" s="10"/>
      <c r="G53" s="10"/>
      <c r="H53" s="10"/>
      <c r="I53" s="13"/>
      <c r="J53" s="13"/>
      <c r="K53" s="13"/>
      <c r="L53" s="13"/>
    </row>
    <row r="54" ht="27.75" customHeight="1">
      <c r="A54" s="1"/>
      <c r="B54" s="10"/>
      <c r="C54" s="11"/>
      <c r="D54" s="12"/>
      <c r="E54" s="10"/>
      <c r="F54" s="10"/>
      <c r="G54" s="10"/>
      <c r="H54" s="10"/>
      <c r="I54" s="13"/>
      <c r="J54" s="13"/>
      <c r="K54" s="13"/>
      <c r="L54" s="13"/>
    </row>
    <row r="55" ht="27.75" customHeight="1">
      <c r="A55" s="1"/>
      <c r="B55" s="10"/>
      <c r="C55" s="11"/>
      <c r="D55" s="12"/>
      <c r="E55" s="10"/>
      <c r="F55" s="10"/>
      <c r="G55" s="10"/>
      <c r="H55" s="10"/>
      <c r="I55" s="13"/>
      <c r="J55" s="13"/>
      <c r="K55" s="13"/>
      <c r="L55" s="13"/>
    </row>
    <row r="56" ht="27.75" customHeight="1">
      <c r="A56" s="1"/>
      <c r="B56" s="10"/>
      <c r="C56" s="11"/>
      <c r="D56" s="12"/>
      <c r="E56" s="10"/>
      <c r="F56" s="10"/>
      <c r="G56" s="10"/>
      <c r="H56" s="10"/>
      <c r="I56" s="13"/>
      <c r="J56" s="13"/>
      <c r="K56" s="13"/>
      <c r="L56" s="13"/>
    </row>
    <row r="57" ht="27.75" customHeight="1">
      <c r="A57" s="1"/>
      <c r="B57" s="10"/>
      <c r="C57" s="11"/>
      <c r="D57" s="12"/>
      <c r="E57" s="10"/>
      <c r="F57" s="10"/>
      <c r="G57" s="10"/>
      <c r="H57" s="10"/>
      <c r="I57" s="13"/>
      <c r="J57" s="13"/>
      <c r="K57" s="13"/>
      <c r="L57" s="13"/>
    </row>
    <row r="58" ht="27.75" customHeight="1">
      <c r="A58" s="1"/>
      <c r="B58" s="10"/>
      <c r="C58" s="11"/>
      <c r="D58" s="12"/>
      <c r="E58" s="10"/>
      <c r="F58" s="10"/>
      <c r="G58" s="10"/>
      <c r="H58" s="10"/>
      <c r="I58" s="13"/>
      <c r="J58" s="13"/>
      <c r="K58" s="13"/>
      <c r="L58" s="13"/>
    </row>
    <row r="59" ht="27.75" customHeight="1">
      <c r="A59" s="1"/>
      <c r="B59" s="10"/>
      <c r="C59" s="11"/>
      <c r="D59" s="12"/>
      <c r="E59" s="10"/>
      <c r="F59" s="10"/>
      <c r="G59" s="10"/>
      <c r="H59" s="10"/>
      <c r="I59" s="13"/>
      <c r="J59" s="13"/>
      <c r="K59" s="13"/>
      <c r="L59" s="13"/>
    </row>
    <row r="60" ht="27.75" customHeight="1">
      <c r="A60" s="1"/>
      <c r="B60" s="10"/>
      <c r="C60" s="11"/>
      <c r="D60" s="12"/>
      <c r="E60" s="10"/>
      <c r="F60" s="10"/>
      <c r="G60" s="10"/>
      <c r="H60" s="10"/>
      <c r="I60" s="13"/>
      <c r="J60" s="13"/>
      <c r="K60" s="13"/>
      <c r="L60" s="13"/>
    </row>
    <row r="61" ht="27.75" customHeight="1">
      <c r="A61" s="1"/>
      <c r="B61" s="10"/>
      <c r="C61" s="11"/>
      <c r="D61" s="12"/>
      <c r="E61" s="10"/>
      <c r="F61" s="10"/>
      <c r="G61" s="10"/>
      <c r="H61" s="10"/>
      <c r="I61" s="13"/>
      <c r="J61" s="13"/>
      <c r="K61" s="13"/>
      <c r="L61" s="13"/>
    </row>
    <row r="62" ht="27.75" customHeight="1">
      <c r="A62" s="1"/>
      <c r="B62" s="10"/>
      <c r="C62" s="11"/>
      <c r="D62" s="12"/>
      <c r="E62" s="10"/>
      <c r="F62" s="10"/>
      <c r="G62" s="10"/>
      <c r="H62" s="10"/>
      <c r="I62" s="13"/>
      <c r="J62" s="13"/>
      <c r="K62" s="13"/>
      <c r="L62" s="13"/>
    </row>
    <row r="63" ht="27.75" customHeight="1">
      <c r="A63" s="1"/>
      <c r="B63" s="10"/>
      <c r="C63" s="11"/>
      <c r="D63" s="12"/>
      <c r="E63" s="10"/>
      <c r="F63" s="10"/>
      <c r="G63" s="10"/>
      <c r="H63" s="10"/>
      <c r="I63" s="13"/>
      <c r="J63" s="13"/>
      <c r="K63" s="13"/>
      <c r="L63" s="13"/>
    </row>
    <row r="64" ht="27.75" customHeight="1">
      <c r="A64" s="1"/>
      <c r="B64" s="10"/>
      <c r="C64" s="11"/>
      <c r="D64" s="12"/>
      <c r="E64" s="10"/>
      <c r="F64" s="10"/>
      <c r="G64" s="10"/>
      <c r="H64" s="10"/>
      <c r="I64" s="13"/>
      <c r="J64" s="13"/>
      <c r="K64" s="13"/>
      <c r="L64" s="13"/>
    </row>
    <row r="65" ht="27.75" customHeight="1">
      <c r="A65" s="1"/>
      <c r="B65" s="10"/>
      <c r="C65" s="11"/>
      <c r="D65" s="12"/>
      <c r="E65" s="10"/>
      <c r="F65" s="10"/>
      <c r="G65" s="10"/>
      <c r="H65" s="10"/>
      <c r="I65" s="13"/>
      <c r="J65" s="13"/>
      <c r="K65" s="13"/>
      <c r="L65" s="13"/>
    </row>
    <row r="66" ht="27.75" customHeight="1">
      <c r="A66" s="1"/>
      <c r="B66" s="10"/>
      <c r="C66" s="11"/>
      <c r="D66" s="12"/>
      <c r="E66" s="10"/>
      <c r="F66" s="10"/>
      <c r="G66" s="10"/>
      <c r="H66" s="10"/>
      <c r="I66" s="13"/>
      <c r="J66" s="13"/>
      <c r="K66" s="13"/>
      <c r="L66" s="13"/>
    </row>
    <row r="67" ht="27.75" customHeight="1">
      <c r="A67" s="1"/>
      <c r="B67" s="10"/>
      <c r="C67" s="11"/>
      <c r="D67" s="12"/>
      <c r="E67" s="10"/>
      <c r="F67" s="10"/>
      <c r="G67" s="10"/>
      <c r="H67" s="10"/>
      <c r="I67" s="13"/>
      <c r="J67" s="13"/>
      <c r="K67" s="13"/>
      <c r="L67" s="13"/>
    </row>
    <row r="68" ht="27.75" customHeight="1">
      <c r="A68" s="1"/>
      <c r="B68" s="10"/>
      <c r="C68" s="11"/>
      <c r="D68" s="12"/>
      <c r="E68" s="10"/>
      <c r="F68" s="10"/>
      <c r="G68" s="10"/>
      <c r="H68" s="10"/>
      <c r="I68" s="13"/>
      <c r="J68" s="13"/>
      <c r="K68" s="13"/>
      <c r="L68" s="13"/>
    </row>
    <row r="69" ht="27.75" customHeight="1">
      <c r="A69" s="1"/>
      <c r="B69" s="10"/>
      <c r="C69" s="11"/>
      <c r="D69" s="12"/>
      <c r="E69" s="10"/>
      <c r="F69" s="10"/>
      <c r="G69" s="10"/>
      <c r="H69" s="10"/>
      <c r="I69" s="13"/>
      <c r="J69" s="13"/>
      <c r="K69" s="13"/>
      <c r="L69" s="13"/>
    </row>
    <row r="70" ht="27.75" customHeight="1">
      <c r="A70" s="1"/>
      <c r="B70" s="10"/>
      <c r="C70" s="11"/>
      <c r="D70" s="12"/>
      <c r="E70" s="10"/>
      <c r="F70" s="10"/>
      <c r="G70" s="10"/>
      <c r="H70" s="10"/>
      <c r="I70" s="13"/>
      <c r="J70" s="13"/>
      <c r="K70" s="13"/>
      <c r="L70" s="13"/>
    </row>
    <row r="71" ht="27.75" customHeight="1">
      <c r="A71" s="1"/>
      <c r="B71" s="10"/>
      <c r="C71" s="11"/>
      <c r="D71" s="12"/>
      <c r="E71" s="10"/>
      <c r="F71" s="10"/>
      <c r="G71" s="10"/>
      <c r="H71" s="10"/>
      <c r="I71" s="13"/>
      <c r="J71" s="13"/>
      <c r="K71" s="13"/>
      <c r="L71" s="13"/>
    </row>
    <row r="72" ht="27.75" customHeight="1">
      <c r="A72" s="1"/>
      <c r="B72" s="10"/>
      <c r="C72" s="11"/>
      <c r="D72" s="12"/>
      <c r="E72" s="10"/>
      <c r="F72" s="10"/>
      <c r="G72" s="10"/>
      <c r="H72" s="10"/>
      <c r="I72" s="13"/>
      <c r="J72" s="13"/>
      <c r="K72" s="13"/>
      <c r="L72" s="13"/>
    </row>
    <row r="73" ht="27.75" customHeight="1">
      <c r="A73" s="1"/>
      <c r="B73" s="10"/>
      <c r="C73" s="11"/>
      <c r="D73" s="12"/>
      <c r="E73" s="10"/>
      <c r="F73" s="10"/>
      <c r="G73" s="10"/>
      <c r="H73" s="10"/>
      <c r="I73" s="13"/>
      <c r="J73" s="13"/>
      <c r="K73" s="13"/>
      <c r="L73" s="13"/>
    </row>
    <row r="74" ht="27.75" customHeight="1">
      <c r="A74" s="1"/>
      <c r="B74" s="10"/>
      <c r="C74" s="11"/>
      <c r="D74" s="12"/>
      <c r="E74" s="10"/>
      <c r="F74" s="10"/>
      <c r="G74" s="10"/>
      <c r="H74" s="10"/>
      <c r="I74" s="13"/>
      <c r="J74" s="13"/>
      <c r="K74" s="13"/>
      <c r="L74" s="13"/>
    </row>
    <row r="75" ht="27.75" customHeight="1">
      <c r="A75" s="1"/>
      <c r="B75" s="10"/>
      <c r="C75" s="11"/>
      <c r="D75" s="12"/>
      <c r="E75" s="10"/>
      <c r="F75" s="10"/>
      <c r="G75" s="10"/>
      <c r="H75" s="10"/>
      <c r="I75" s="13"/>
      <c r="J75" s="13"/>
      <c r="K75" s="13"/>
      <c r="L75" s="13"/>
    </row>
    <row r="76" ht="27.75" customHeight="1">
      <c r="A76" s="1"/>
      <c r="B76" s="10"/>
      <c r="C76" s="11"/>
      <c r="D76" s="12"/>
      <c r="E76" s="10"/>
      <c r="F76" s="10"/>
      <c r="G76" s="10"/>
      <c r="H76" s="10"/>
      <c r="I76" s="13"/>
      <c r="J76" s="13"/>
      <c r="K76" s="13"/>
      <c r="L76" s="13"/>
    </row>
    <row r="77" ht="27.75" customHeight="1">
      <c r="A77" s="1"/>
      <c r="B77" s="10"/>
      <c r="C77" s="11"/>
      <c r="D77" s="12"/>
      <c r="E77" s="10"/>
      <c r="F77" s="10"/>
      <c r="G77" s="10"/>
      <c r="H77" s="10"/>
      <c r="I77" s="13"/>
      <c r="J77" s="13"/>
      <c r="K77" s="13"/>
      <c r="L77" s="13"/>
    </row>
    <row r="78" ht="27.75" customHeight="1">
      <c r="A78" s="1"/>
      <c r="B78" s="10"/>
      <c r="C78" s="11"/>
      <c r="D78" s="12"/>
      <c r="E78" s="10"/>
      <c r="F78" s="10"/>
      <c r="G78" s="10"/>
      <c r="H78" s="10"/>
      <c r="I78" s="13"/>
      <c r="J78" s="13"/>
      <c r="K78" s="13"/>
      <c r="L78" s="13"/>
    </row>
    <row r="79" ht="27.75" customHeight="1">
      <c r="A79" s="1"/>
      <c r="B79" s="10"/>
      <c r="C79" s="11"/>
      <c r="D79" s="12"/>
      <c r="E79" s="10"/>
      <c r="F79" s="10"/>
      <c r="G79" s="10"/>
      <c r="H79" s="10"/>
      <c r="I79" s="13"/>
      <c r="J79" s="13"/>
      <c r="K79" s="13"/>
      <c r="L79" s="13"/>
    </row>
    <row r="80" ht="27.75" customHeight="1">
      <c r="A80" s="1"/>
      <c r="B80" s="10"/>
      <c r="C80" s="11"/>
      <c r="D80" s="12"/>
      <c r="E80" s="10"/>
      <c r="F80" s="10"/>
      <c r="G80" s="10"/>
      <c r="H80" s="10"/>
      <c r="I80" s="13"/>
      <c r="J80" s="13"/>
      <c r="K80" s="13"/>
      <c r="L80" s="13"/>
    </row>
    <row r="81" ht="27.75" customHeight="1">
      <c r="A81" s="1"/>
      <c r="B81" s="10"/>
      <c r="C81" s="11"/>
      <c r="D81" s="12"/>
      <c r="E81" s="10"/>
      <c r="F81" s="10"/>
      <c r="G81" s="10"/>
      <c r="H81" s="10"/>
      <c r="I81" s="13"/>
      <c r="J81" s="13"/>
      <c r="K81" s="13"/>
      <c r="L81" s="13"/>
    </row>
    <row r="82" ht="27.75" customHeight="1">
      <c r="A82" s="1"/>
      <c r="B82" s="10"/>
      <c r="C82" s="11"/>
      <c r="D82" s="12"/>
      <c r="E82" s="10"/>
      <c r="F82" s="10"/>
      <c r="G82" s="10"/>
      <c r="H82" s="10"/>
      <c r="I82" s="13"/>
      <c r="J82" s="13"/>
      <c r="K82" s="13"/>
      <c r="L82" s="13"/>
    </row>
    <row r="83" ht="27.75" customHeight="1">
      <c r="A83" s="1"/>
      <c r="B83" s="10"/>
      <c r="C83" s="11"/>
      <c r="D83" s="12"/>
      <c r="E83" s="10"/>
      <c r="F83" s="10"/>
      <c r="G83" s="10"/>
      <c r="H83" s="10"/>
      <c r="I83" s="13"/>
      <c r="J83" s="13"/>
      <c r="K83" s="13"/>
      <c r="L83" s="13"/>
    </row>
    <row r="84" ht="27.75" customHeight="1">
      <c r="A84" s="1"/>
      <c r="B84" s="10"/>
      <c r="C84" s="11"/>
      <c r="D84" s="12"/>
      <c r="E84" s="10"/>
      <c r="F84" s="10"/>
      <c r="G84" s="10"/>
      <c r="H84" s="10"/>
      <c r="I84" s="13"/>
      <c r="J84" s="13"/>
      <c r="K84" s="13"/>
      <c r="L84" s="13"/>
    </row>
    <row r="85" ht="27.75" customHeight="1">
      <c r="A85" s="1"/>
      <c r="B85" s="10"/>
      <c r="C85" s="11"/>
      <c r="D85" s="12"/>
      <c r="E85" s="10"/>
      <c r="F85" s="10"/>
      <c r="G85" s="10"/>
      <c r="H85" s="10"/>
      <c r="I85" s="13"/>
      <c r="J85" s="13"/>
      <c r="K85" s="13"/>
      <c r="L85" s="13"/>
    </row>
    <row r="86" ht="27.75" customHeight="1">
      <c r="A86" s="1"/>
      <c r="B86" s="10"/>
      <c r="C86" s="11"/>
      <c r="D86" s="12"/>
      <c r="E86" s="10"/>
      <c r="F86" s="10"/>
      <c r="G86" s="10"/>
      <c r="H86" s="10"/>
      <c r="I86" s="13"/>
      <c r="J86" s="13"/>
      <c r="K86" s="13"/>
      <c r="L86" s="13"/>
    </row>
    <row r="87" ht="27.75" customHeight="1">
      <c r="A87" s="1"/>
      <c r="B87" s="10"/>
      <c r="C87" s="11"/>
      <c r="D87" s="12"/>
      <c r="E87" s="10"/>
      <c r="F87" s="10"/>
      <c r="G87" s="10"/>
      <c r="H87" s="10"/>
      <c r="I87" s="13"/>
      <c r="J87" s="13"/>
      <c r="K87" s="13"/>
      <c r="L87" s="13"/>
    </row>
    <row r="88" ht="27.75" customHeight="1">
      <c r="A88" s="1"/>
      <c r="B88" s="10"/>
      <c r="C88" s="11"/>
      <c r="D88" s="12"/>
      <c r="E88" s="10"/>
      <c r="F88" s="10"/>
      <c r="G88" s="10"/>
      <c r="H88" s="10"/>
      <c r="I88" s="13"/>
      <c r="J88" s="13"/>
      <c r="K88" s="13"/>
      <c r="L88" s="13"/>
    </row>
    <row r="89" ht="27.75" customHeight="1">
      <c r="A89" s="1"/>
      <c r="B89" s="10"/>
      <c r="C89" s="11"/>
      <c r="D89" s="12"/>
      <c r="E89" s="10"/>
      <c r="F89" s="10"/>
      <c r="G89" s="10"/>
      <c r="H89" s="10"/>
      <c r="I89" s="13"/>
      <c r="J89" s="13"/>
      <c r="K89" s="13"/>
      <c r="L89" s="13"/>
    </row>
    <row r="90" ht="27.75" customHeight="1">
      <c r="A90" s="1"/>
      <c r="B90" s="10"/>
      <c r="C90" s="11"/>
      <c r="D90" s="12"/>
      <c r="E90" s="10"/>
      <c r="F90" s="10"/>
      <c r="G90" s="10"/>
      <c r="H90" s="10"/>
      <c r="I90" s="13"/>
      <c r="J90" s="13"/>
      <c r="K90" s="13"/>
      <c r="L90" s="13"/>
    </row>
    <row r="91" ht="27.75" customHeight="1">
      <c r="A91" s="1"/>
      <c r="B91" s="10"/>
      <c r="C91" s="11"/>
      <c r="D91" s="12"/>
      <c r="E91" s="10"/>
      <c r="F91" s="10"/>
      <c r="G91" s="10"/>
      <c r="H91" s="10"/>
      <c r="I91" s="13"/>
      <c r="J91" s="13"/>
      <c r="K91" s="13"/>
      <c r="L91" s="13"/>
    </row>
    <row r="92" ht="27.75" customHeight="1">
      <c r="A92" s="1"/>
      <c r="B92" s="10"/>
      <c r="C92" s="11"/>
      <c r="D92" s="12"/>
      <c r="E92" s="10"/>
      <c r="F92" s="10"/>
      <c r="G92" s="10"/>
      <c r="H92" s="10"/>
      <c r="I92" s="13"/>
      <c r="J92" s="13"/>
      <c r="K92" s="13"/>
      <c r="L92" s="13"/>
    </row>
    <row r="93" ht="27.75" customHeight="1">
      <c r="A93" s="1"/>
      <c r="B93" s="10"/>
      <c r="C93" s="11"/>
      <c r="D93" s="12"/>
      <c r="E93" s="10"/>
      <c r="F93" s="10"/>
      <c r="G93" s="10"/>
      <c r="H93" s="10"/>
      <c r="I93" s="13"/>
      <c r="J93" s="13"/>
      <c r="K93" s="13"/>
      <c r="L93" s="13"/>
    </row>
    <row r="94" ht="27.75" customHeight="1">
      <c r="A94" s="1"/>
      <c r="B94" s="10"/>
      <c r="C94" s="11"/>
      <c r="D94" s="12"/>
      <c r="E94" s="10"/>
      <c r="F94" s="10"/>
      <c r="G94" s="10"/>
      <c r="H94" s="10"/>
      <c r="I94" s="13"/>
      <c r="J94" s="13"/>
      <c r="K94" s="13"/>
      <c r="L94" s="13"/>
    </row>
    <row r="95" ht="27.75" customHeight="1">
      <c r="A95" s="1"/>
      <c r="B95" s="10"/>
      <c r="C95" s="11"/>
      <c r="D95" s="12"/>
      <c r="E95" s="10"/>
      <c r="F95" s="10"/>
      <c r="G95" s="10"/>
      <c r="H95" s="10"/>
      <c r="I95" s="13"/>
      <c r="J95" s="13"/>
      <c r="K95" s="13"/>
      <c r="L95" s="13"/>
    </row>
    <row r="96" ht="27.75" customHeight="1">
      <c r="A96" s="1"/>
      <c r="B96" s="10"/>
      <c r="C96" s="11"/>
      <c r="D96" s="12"/>
      <c r="E96" s="10"/>
      <c r="F96" s="10"/>
      <c r="G96" s="10"/>
      <c r="H96" s="10"/>
      <c r="I96" s="13"/>
      <c r="J96" s="13"/>
      <c r="K96" s="13"/>
      <c r="L96" s="13"/>
    </row>
    <row r="97" ht="27.75" customHeight="1">
      <c r="A97" s="1"/>
      <c r="B97" s="10"/>
      <c r="C97" s="11"/>
      <c r="D97" s="12"/>
      <c r="E97" s="10"/>
      <c r="F97" s="10"/>
      <c r="G97" s="10"/>
      <c r="H97" s="10"/>
      <c r="I97" s="13"/>
      <c r="J97" s="13"/>
      <c r="K97" s="13"/>
      <c r="L97" s="13"/>
    </row>
    <row r="98" ht="27.75" customHeight="1">
      <c r="A98" s="1"/>
      <c r="B98" s="10"/>
      <c r="C98" s="11"/>
      <c r="D98" s="12"/>
      <c r="E98" s="10"/>
      <c r="F98" s="10"/>
      <c r="G98" s="10"/>
      <c r="H98" s="10"/>
      <c r="I98" s="13"/>
      <c r="J98" s="13"/>
      <c r="K98" s="13"/>
      <c r="L98" s="13"/>
    </row>
    <row r="99" ht="27.75" customHeight="1">
      <c r="A99" s="1"/>
      <c r="B99" s="10"/>
      <c r="C99" s="11"/>
      <c r="D99" s="12"/>
      <c r="E99" s="10"/>
      <c r="F99" s="10"/>
      <c r="G99" s="10"/>
      <c r="H99" s="10"/>
      <c r="I99" s="13"/>
      <c r="J99" s="13"/>
      <c r="K99" s="13"/>
      <c r="L99" s="13"/>
    </row>
    <row r="100" ht="27.75" customHeight="1">
      <c r="A100" s="1"/>
      <c r="B100" s="10"/>
      <c r="C100" s="11"/>
      <c r="D100" s="12"/>
      <c r="E100" s="10"/>
      <c r="F100" s="10"/>
      <c r="G100" s="10"/>
      <c r="H100" s="10"/>
      <c r="I100" s="13"/>
      <c r="J100" s="13"/>
      <c r="K100" s="13"/>
      <c r="L100" s="13"/>
    </row>
    <row r="101" ht="27.75" customHeight="1">
      <c r="A101" s="1"/>
      <c r="B101" s="10"/>
      <c r="C101" s="11"/>
      <c r="D101" s="12"/>
      <c r="E101" s="10"/>
      <c r="F101" s="10"/>
      <c r="G101" s="10"/>
      <c r="H101" s="10"/>
      <c r="I101" s="13"/>
      <c r="J101" s="13"/>
      <c r="K101" s="13"/>
      <c r="L101" s="13"/>
    </row>
    <row r="102" ht="27.75" customHeight="1">
      <c r="A102" s="1"/>
      <c r="B102" s="10"/>
      <c r="C102" s="11"/>
      <c r="D102" s="12"/>
      <c r="E102" s="10"/>
      <c r="F102" s="10"/>
      <c r="G102" s="10"/>
      <c r="H102" s="10"/>
      <c r="I102" s="13"/>
      <c r="J102" s="13"/>
      <c r="K102" s="13"/>
      <c r="L102" s="13"/>
    </row>
    <row r="103" ht="27.75" customHeight="1">
      <c r="A103" s="1"/>
      <c r="B103" s="10"/>
      <c r="C103" s="11"/>
      <c r="D103" s="12"/>
      <c r="E103" s="10"/>
      <c r="F103" s="10"/>
      <c r="G103" s="10"/>
      <c r="H103" s="10"/>
      <c r="I103" s="13"/>
      <c r="J103" s="13"/>
      <c r="K103" s="13"/>
      <c r="L103" s="13"/>
    </row>
    <row r="104" ht="27.75" customHeight="1">
      <c r="A104" s="1"/>
      <c r="B104" s="10"/>
      <c r="C104" s="11"/>
      <c r="D104" s="12"/>
      <c r="E104" s="10"/>
      <c r="F104" s="10"/>
      <c r="G104" s="10"/>
      <c r="H104" s="10"/>
      <c r="I104" s="13"/>
      <c r="J104" s="13"/>
      <c r="K104" s="13"/>
      <c r="L104" s="13"/>
    </row>
    <row r="105" ht="27.75" customHeight="1">
      <c r="A105" s="1"/>
      <c r="B105" s="10"/>
      <c r="C105" s="11"/>
      <c r="D105" s="12"/>
      <c r="E105" s="10"/>
      <c r="F105" s="10"/>
      <c r="G105" s="10"/>
      <c r="H105" s="10"/>
      <c r="I105" s="13"/>
      <c r="J105" s="13"/>
      <c r="K105" s="13"/>
      <c r="L105" s="13"/>
    </row>
    <row r="106" ht="27.75" customHeight="1">
      <c r="A106" s="1"/>
      <c r="B106" s="10"/>
      <c r="C106" s="11"/>
      <c r="D106" s="12"/>
      <c r="E106" s="10"/>
      <c r="F106" s="10"/>
      <c r="G106" s="10"/>
      <c r="H106" s="10"/>
      <c r="I106" s="13"/>
      <c r="J106" s="13"/>
      <c r="K106" s="13"/>
      <c r="L106" s="13"/>
    </row>
    <row r="107" ht="27.75" customHeight="1">
      <c r="A107" s="1"/>
      <c r="B107" s="10"/>
      <c r="C107" s="11"/>
      <c r="D107" s="12"/>
      <c r="E107" s="10"/>
      <c r="F107" s="10"/>
      <c r="G107" s="10"/>
      <c r="H107" s="10"/>
      <c r="I107" s="13"/>
      <c r="J107" s="13"/>
      <c r="K107" s="13"/>
      <c r="L107" s="13"/>
    </row>
    <row r="108" ht="27.75" customHeight="1">
      <c r="A108" s="1"/>
      <c r="B108" s="10"/>
      <c r="C108" s="11"/>
      <c r="D108" s="12"/>
      <c r="E108" s="10"/>
      <c r="F108" s="10"/>
      <c r="G108" s="10"/>
      <c r="H108" s="10"/>
      <c r="I108" s="13"/>
      <c r="J108" s="13"/>
      <c r="K108" s="13"/>
      <c r="L108" s="13"/>
    </row>
    <row r="109" ht="27.75" customHeight="1">
      <c r="A109" s="1"/>
      <c r="B109" s="10"/>
      <c r="C109" s="11"/>
      <c r="D109" s="12"/>
      <c r="E109" s="10"/>
      <c r="F109" s="10"/>
      <c r="G109" s="10"/>
      <c r="H109" s="10"/>
      <c r="I109" s="13"/>
      <c r="J109" s="13"/>
      <c r="K109" s="13"/>
      <c r="L109" s="13"/>
    </row>
    <row r="110" ht="27.75" customHeight="1">
      <c r="A110" s="1"/>
      <c r="B110" s="10"/>
      <c r="C110" s="11"/>
      <c r="D110" s="12"/>
      <c r="E110" s="10"/>
      <c r="F110" s="10"/>
      <c r="G110" s="10"/>
      <c r="H110" s="10"/>
      <c r="I110" s="13"/>
      <c r="J110" s="13"/>
      <c r="K110" s="13"/>
      <c r="L110" s="13"/>
    </row>
    <row r="111" ht="27.75" customHeight="1">
      <c r="A111" s="1"/>
      <c r="B111" s="10"/>
      <c r="C111" s="11"/>
      <c r="D111" s="12"/>
      <c r="E111" s="10"/>
      <c r="F111" s="10"/>
      <c r="G111" s="10"/>
      <c r="H111" s="10"/>
      <c r="I111" s="13"/>
      <c r="J111" s="13"/>
      <c r="K111" s="13"/>
      <c r="L111" s="13"/>
    </row>
    <row r="112" ht="27.75" customHeight="1">
      <c r="A112" s="1"/>
      <c r="B112" s="10"/>
      <c r="C112" s="11"/>
      <c r="D112" s="12"/>
      <c r="E112" s="10"/>
      <c r="F112" s="10"/>
      <c r="G112" s="10"/>
      <c r="H112" s="10"/>
      <c r="I112" s="13"/>
      <c r="J112" s="13"/>
      <c r="K112" s="13"/>
      <c r="L112" s="13"/>
    </row>
    <row r="113" ht="27.75" customHeight="1">
      <c r="A113" s="1"/>
      <c r="B113" s="10"/>
      <c r="C113" s="11"/>
      <c r="D113" s="12"/>
      <c r="E113" s="10"/>
      <c r="F113" s="10"/>
      <c r="G113" s="10"/>
      <c r="H113" s="10"/>
      <c r="I113" s="13"/>
      <c r="J113" s="13"/>
      <c r="K113" s="13"/>
      <c r="L113" s="13"/>
    </row>
    <row r="114" ht="27.75" customHeight="1">
      <c r="A114" s="1"/>
      <c r="B114" s="10"/>
      <c r="C114" s="11"/>
      <c r="D114" s="12"/>
      <c r="E114" s="10"/>
      <c r="F114" s="10"/>
      <c r="G114" s="10"/>
      <c r="H114" s="10"/>
      <c r="I114" s="13"/>
      <c r="J114" s="13"/>
      <c r="K114" s="13"/>
      <c r="L114" s="13"/>
    </row>
    <row r="115" ht="27.75" customHeight="1">
      <c r="A115" s="1"/>
      <c r="B115" s="10"/>
      <c r="C115" s="11"/>
      <c r="D115" s="12"/>
      <c r="E115" s="10"/>
      <c r="F115" s="10"/>
      <c r="G115" s="10"/>
      <c r="H115" s="10"/>
      <c r="I115" s="13"/>
      <c r="J115" s="13"/>
      <c r="K115" s="13"/>
      <c r="L115" s="13"/>
    </row>
    <row r="116" ht="27.75" customHeight="1">
      <c r="A116" s="1"/>
      <c r="B116" s="10"/>
      <c r="C116" s="11"/>
      <c r="D116" s="12"/>
      <c r="E116" s="10"/>
      <c r="F116" s="10"/>
      <c r="G116" s="10"/>
      <c r="H116" s="10"/>
      <c r="I116" s="13"/>
      <c r="J116" s="13"/>
      <c r="K116" s="13"/>
      <c r="L116" s="13"/>
    </row>
    <row r="117" ht="27.75" customHeight="1">
      <c r="A117" s="1"/>
      <c r="B117" s="10"/>
      <c r="C117" s="11"/>
      <c r="D117" s="12"/>
      <c r="E117" s="10"/>
      <c r="F117" s="10"/>
      <c r="G117" s="10"/>
      <c r="H117" s="10"/>
      <c r="I117" s="13"/>
      <c r="J117" s="13"/>
      <c r="K117" s="13"/>
      <c r="L117" s="13"/>
    </row>
    <row r="118" ht="27.75" customHeight="1">
      <c r="A118" s="1"/>
      <c r="B118" s="10"/>
      <c r="C118" s="11"/>
      <c r="D118" s="12"/>
      <c r="E118" s="10"/>
      <c r="F118" s="10"/>
      <c r="G118" s="10"/>
      <c r="H118" s="10"/>
      <c r="I118" s="13"/>
      <c r="J118" s="13"/>
      <c r="K118" s="13"/>
      <c r="L118" s="13"/>
    </row>
    <row r="119" ht="27.75" customHeight="1">
      <c r="A119" s="1"/>
      <c r="B119" s="10"/>
      <c r="C119" s="11"/>
      <c r="D119" s="12"/>
      <c r="E119" s="10"/>
      <c r="F119" s="10"/>
      <c r="G119" s="10"/>
      <c r="H119" s="10"/>
      <c r="I119" s="13"/>
      <c r="J119" s="13"/>
      <c r="K119" s="13"/>
      <c r="L119" s="13"/>
    </row>
    <row r="120" ht="27.75" customHeight="1">
      <c r="A120" s="1"/>
      <c r="B120" s="10"/>
      <c r="C120" s="11"/>
      <c r="D120" s="12"/>
      <c r="E120" s="10"/>
      <c r="F120" s="10"/>
      <c r="G120" s="10"/>
      <c r="H120" s="10"/>
      <c r="I120" s="13"/>
      <c r="J120" s="13"/>
      <c r="K120" s="13"/>
      <c r="L120" s="13"/>
    </row>
    <row r="121" ht="27.75" customHeight="1">
      <c r="A121" s="1"/>
      <c r="B121" s="10"/>
      <c r="C121" s="11"/>
      <c r="D121" s="12"/>
      <c r="E121" s="10"/>
      <c r="F121" s="10"/>
      <c r="G121" s="10"/>
      <c r="H121" s="10"/>
      <c r="I121" s="13"/>
      <c r="J121" s="13"/>
      <c r="K121" s="13"/>
      <c r="L121" s="13"/>
    </row>
    <row r="122" ht="27.75" customHeight="1">
      <c r="A122" s="1"/>
      <c r="B122" s="10"/>
      <c r="C122" s="11"/>
      <c r="D122" s="12"/>
      <c r="E122" s="10"/>
      <c r="F122" s="10"/>
      <c r="G122" s="10"/>
      <c r="H122" s="10"/>
      <c r="I122" s="13"/>
      <c r="J122" s="13"/>
      <c r="K122" s="13"/>
      <c r="L122" s="13"/>
    </row>
    <row r="123" ht="27.75" customHeight="1">
      <c r="A123" s="1"/>
      <c r="B123" s="10"/>
      <c r="C123" s="11"/>
      <c r="D123" s="12"/>
      <c r="E123" s="10"/>
      <c r="F123" s="10"/>
      <c r="G123" s="10"/>
      <c r="H123" s="10"/>
      <c r="I123" s="13"/>
      <c r="J123" s="13"/>
      <c r="K123" s="13"/>
      <c r="L123" s="13"/>
    </row>
    <row r="124" ht="27.75" customHeight="1">
      <c r="A124" s="1"/>
      <c r="B124" s="10"/>
      <c r="C124" s="11"/>
      <c r="D124" s="12"/>
      <c r="E124" s="10"/>
      <c r="F124" s="10"/>
      <c r="G124" s="10"/>
      <c r="H124" s="10"/>
      <c r="I124" s="13"/>
      <c r="J124" s="13"/>
      <c r="K124" s="13"/>
      <c r="L124" s="13"/>
    </row>
    <row r="125" ht="27.75" customHeight="1">
      <c r="A125" s="1"/>
      <c r="B125" s="10"/>
      <c r="C125" s="11"/>
      <c r="D125" s="12"/>
      <c r="E125" s="10"/>
      <c r="F125" s="10"/>
      <c r="G125" s="10"/>
      <c r="H125" s="10"/>
      <c r="I125" s="13"/>
      <c r="J125" s="13"/>
      <c r="K125" s="13"/>
      <c r="L125" s="13"/>
    </row>
    <row r="126" ht="27.75" customHeight="1">
      <c r="A126" s="1"/>
      <c r="B126" s="10"/>
      <c r="C126" s="11"/>
      <c r="D126" s="12"/>
      <c r="E126" s="10"/>
      <c r="F126" s="10"/>
      <c r="G126" s="10"/>
      <c r="H126" s="10"/>
      <c r="I126" s="13"/>
      <c r="J126" s="13"/>
      <c r="K126" s="13"/>
      <c r="L126" s="13"/>
    </row>
    <row r="127" ht="27.75" customHeight="1">
      <c r="A127" s="1"/>
      <c r="B127" s="10"/>
      <c r="C127" s="11"/>
      <c r="D127" s="12"/>
      <c r="E127" s="10"/>
      <c r="F127" s="10"/>
      <c r="G127" s="10"/>
      <c r="H127" s="10"/>
      <c r="I127" s="13"/>
      <c r="J127" s="13"/>
      <c r="K127" s="13"/>
      <c r="L127" s="13"/>
    </row>
    <row r="128" ht="27.75" customHeight="1">
      <c r="A128" s="1"/>
      <c r="B128" s="10"/>
      <c r="C128" s="11"/>
      <c r="D128" s="12"/>
      <c r="E128" s="10"/>
      <c r="F128" s="10"/>
      <c r="G128" s="10"/>
      <c r="H128" s="10"/>
      <c r="I128" s="13"/>
      <c r="J128" s="13"/>
      <c r="K128" s="13"/>
      <c r="L128" s="13"/>
    </row>
    <row r="129" ht="24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ht="24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</sheetData>
  <mergeCells count="1">
    <mergeCell ref="B2:J2"/>
  </mergeCells>
  <dataValidations>
    <dataValidation type="list" allowBlank="1" sqref="F9:F128">
      <formula1>ListaSubcategorias</formula1>
    </dataValidation>
    <dataValidation type="list" allowBlank="1" sqref="D9:D128">
      <formula1>"Ingreso,Gasto,Transferencia,Compra inversión,Venta inversión,Rendimiento inversión,Préstamo recibido,Devolución deuda,Cobro compartido,Devolución gasto"</formula1>
    </dataValidation>
    <dataValidation type="custom" allowBlank="1" showDropDown="1" showInputMessage="1" showErrorMessage="1" prompt="Sí o No solo en gastos." sqref="L9:L128">
      <formula1>OR(L9="",AND($D9="Gasto",OR(L9="Sí",L9="No")))</formula1>
    </dataValidation>
    <dataValidation type="list" allowBlank="1" sqref="G9:H128">
      <formula1>ListaCuentas</formula1>
    </dataValidation>
    <dataValidation type="list" allowBlank="1" sqref="K9:K128">
      <formula1>"Madrid,Alicante,La Manga,Albacete,N/A"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4252"/>
    <pageSetUpPr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24.0"/>
    <col customWidth="1" min="3" max="3" width="31.0"/>
    <col customWidth="1" min="4" max="5" width="18.0"/>
    <col customWidth="1" min="6" max="14" width="16.0"/>
  </cols>
  <sheetData>
    <row r="1" ht="24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75" customHeight="1">
      <c r="A2" s="1"/>
      <c r="B2" s="2" t="s">
        <v>27</v>
      </c>
    </row>
    <row r="3" ht="24.75" customHeight="1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24.75" customHeight="1">
      <c r="A4" s="1"/>
      <c r="B4" s="1" t="s">
        <v>32</v>
      </c>
      <c r="C4" s="1"/>
      <c r="D4" s="34" t="s">
        <v>34</v>
      </c>
      <c r="I4" s="1"/>
      <c r="J4" s="1"/>
      <c r="K4" s="1" t="s">
        <v>35</v>
      </c>
      <c r="L4" s="1"/>
      <c r="M4" s="36">
        <f>'Configuración'!$C$8</f>
        <v>46023</v>
      </c>
      <c r="N4" s="1"/>
    </row>
    <row r="5" ht="24.75" customHeight="1">
      <c r="A5" s="1"/>
      <c r="B5" s="27" t="s">
        <v>36</v>
      </c>
      <c r="C5" s="28"/>
      <c r="D5" s="28"/>
      <c r="E5" s="28"/>
      <c r="F5" s="25" t="s">
        <v>37</v>
      </c>
      <c r="G5" s="26"/>
      <c r="H5" s="26"/>
      <c r="I5" s="26"/>
      <c r="J5" s="29" t="s">
        <v>38</v>
      </c>
      <c r="K5" s="30"/>
      <c r="L5" s="30"/>
      <c r="M5" s="30"/>
      <c r="N5" s="30"/>
    </row>
    <row r="6" ht="33.75" customHeight="1">
      <c r="A6" s="1"/>
      <c r="B6" s="33">
        <f>'Cálculos'!D5</f>
        <v>0</v>
      </c>
      <c r="F6" s="33">
        <f>SUM(tProductos[Aportado neto])</f>
        <v>0</v>
      </c>
      <c r="J6" s="33">
        <f>IF(COUNT('Cálculos'!D5)=0,"",SUM(tProductos[Resultado]))</f>
        <v>0</v>
      </c>
    </row>
    <row r="7" ht="24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ht="24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ht="24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24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ht="24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ht="24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ht="24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ht="24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ht="24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ht="24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ht="24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ht="24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ht="24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ht="24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ht="24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ht="24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ht="24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ht="24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ht="24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ht="24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ht="24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ht="24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ht="37.5" customHeight="1">
      <c r="A29" s="1"/>
      <c r="B29" s="4" t="s">
        <v>2</v>
      </c>
      <c r="C29" s="4" t="s">
        <v>32</v>
      </c>
      <c r="D29" s="4" t="s">
        <v>3</v>
      </c>
      <c r="E29" s="4" t="s">
        <v>40</v>
      </c>
      <c r="F29" s="4" t="s">
        <v>43</v>
      </c>
      <c r="G29" s="4" t="s">
        <v>44</v>
      </c>
      <c r="H29" s="4" t="s">
        <v>45</v>
      </c>
      <c r="I29" s="4" t="s">
        <v>46</v>
      </c>
      <c r="J29" s="4" t="s">
        <v>47</v>
      </c>
      <c r="K29" s="4" t="s">
        <v>48</v>
      </c>
      <c r="L29" s="4" t="s">
        <v>38</v>
      </c>
      <c r="M29" s="4" t="s">
        <v>49</v>
      </c>
      <c r="N29" s="4" t="s">
        <v>50</v>
      </c>
    </row>
    <row r="30" ht="27.75" customHeight="1">
      <c r="A30" s="1"/>
      <c r="B30" s="5"/>
      <c r="C30" s="5"/>
      <c r="D30" s="5"/>
      <c r="E30" s="5"/>
      <c r="F30" s="7"/>
      <c r="G30" s="40"/>
      <c r="H30" s="6"/>
      <c r="I30" s="41" t="str">
        <f>IF(OR(B30="",'Configuración'!$C$8&lt;F30),"",G30+SUMIFS(tOperaciones[Participaciones],tOperaciones[Producto],B30,tOperaciones[Tipo],"Compra",tOperaciones[Fecha],"&gt;="&amp;F30,tOperaciones[Fecha],"&lt;="&amp;'Configuración'!$C$8)-SUMIFS(tOperaciones[Participaciones],tOperaciones[Producto],B30,tOperaciones[Tipo],"Venta",tOperaciones[Fecha],"&gt;="&amp;F30,tOperaciones[Fecha],"&lt;="&amp;'Configuración'!$C$8))</f>
        <v/>
      </c>
      <c r="J30" s="9" t="str">
        <f>IF(OR(B30="",'Configuración'!$C$8&lt;F30),"",H30+SUMIFS(tOperaciones[Importe],tOperaciones[Producto],B30,tOperaciones[Tipo],"Compra",tOperaciones[Fecha],"&gt;="&amp;F30,tOperaciones[Fecha],"&lt;="&amp;'Configuración'!$C$8)-SUMIFS(tOperaciones[Importe],tOperaciones[Producto],B30,tOperaciones[Tipo],"Venta",tOperaciones[Fecha],"&gt;="&amp;F30,tOperaciones[Fecha],"&lt;="&amp;'Configuración'!$C$8))</f>
        <v/>
      </c>
      <c r="K30" s="9" t="str">
        <f>IF(OR(B30="",COUNT(I30)=0),"",IF(I30=0,0,IF(COUNTIFS(tPrecios[Producto],B30,tPrecios[Fecha],"&lt;="&amp;'Configuración'!$C$8)=0,"",I30*SUMIFS(tPrecios[VL EUR],tPrecios[Producto],B30,tPrecios[Fecha],MAXIFS(tPrecios[Fecha],tPrecios[Producto],B30,tPrecios[Fecha],"&lt;="&amp;'Configuración'!$C$8)))))</f>
        <v/>
      </c>
      <c r="L30" s="9" t="str">
        <f>IF(OR(B30="",COUNT(K30)=0),"",K30-J30+SUMIFS(tOperaciones[Importe],tOperaciones[Producto],B30,tOperaciones[Tipo],"Cobro",tOperaciones[Fecha],"&gt;="&amp;F30,tOperaciones[Fecha],"&lt;="&amp;'Configuración'!$C$8))</f>
        <v/>
      </c>
      <c r="M30" s="42" t="str">
        <f>IF(OR(B30="",COUNT(L30)=0,H30+SUMIFS(tOperaciones[Importe],tOperaciones[Producto],B30,tOperaciones[Tipo],"Compra",tOperaciones[Fecha],"&lt;="&amp;'Configuración'!$C$8)=0),"",L30/(H30+SUMIFS(tOperaciones[Importe],tOperaciones[Producto],B30,tOperaciones[Tipo],"Compra",tOperaciones[Fecha],"&lt;="&amp;'Configuración'!$C$8)))</f>
        <v/>
      </c>
      <c r="N30" s="42" t="str">
        <f>IF(OR(B30="",COUNT(K30)=0,COUNT(tProductos[Valor])&lt;&gt;COUNTA(tProductos[ID]),SUM(tProductos[Valor])=0),"",K30/SUM(tProductos[Valor]))</f>
        <v/>
      </c>
    </row>
    <row r="31" ht="27.75" customHeight="1">
      <c r="A31" s="1"/>
      <c r="B31" s="10"/>
      <c r="C31" s="10"/>
      <c r="D31" s="10"/>
      <c r="E31" s="10"/>
      <c r="F31" s="11"/>
      <c r="G31" s="43"/>
      <c r="H31" s="13"/>
      <c r="I31" s="44" t="str">
        <f>IF(OR(B31="",'Configuración'!$C$8&lt;F31),"",G31+SUMIFS(tOperaciones[Participaciones],tOperaciones[Producto],B31,tOperaciones[Tipo],"Compra",tOperaciones[Fecha],"&gt;="&amp;F31,tOperaciones[Fecha],"&lt;="&amp;'Configuración'!$C$8)-SUMIFS(tOperaciones[Participaciones],tOperaciones[Producto],B31,tOperaciones[Tipo],"Venta",tOperaciones[Fecha],"&gt;="&amp;F31,tOperaciones[Fecha],"&lt;="&amp;'Configuración'!$C$8))</f>
        <v/>
      </c>
      <c r="J31" s="14" t="str">
        <f>IF(OR(B31="",'Configuración'!$C$8&lt;F31),"",H31+SUMIFS(tOperaciones[Importe],tOperaciones[Producto],B31,tOperaciones[Tipo],"Compra",tOperaciones[Fecha],"&gt;="&amp;F31,tOperaciones[Fecha],"&lt;="&amp;'Configuración'!$C$8)-SUMIFS(tOperaciones[Importe],tOperaciones[Producto],B31,tOperaciones[Tipo],"Venta",tOperaciones[Fecha],"&gt;="&amp;F31,tOperaciones[Fecha],"&lt;="&amp;'Configuración'!$C$8))</f>
        <v/>
      </c>
      <c r="K31" s="14" t="str">
        <f>IF(OR(B31="",COUNT(I31)=0),"",IF(I31=0,0,IF(COUNTIFS(tPrecios[Producto],B31,tPrecios[Fecha],"&lt;="&amp;'Configuración'!$C$8)=0,"",I31*SUMIFS(tPrecios[VL EUR],tPrecios[Producto],B31,tPrecios[Fecha],MAXIFS(tPrecios[Fecha],tPrecios[Producto],B31,tPrecios[Fecha],"&lt;="&amp;'Configuración'!$C$8)))))</f>
        <v/>
      </c>
      <c r="L31" s="14" t="str">
        <f>IF(OR(B31="",COUNT(K31)=0),"",K31-J31+SUMIFS(tOperaciones[Importe],tOperaciones[Producto],B31,tOperaciones[Tipo],"Cobro",tOperaciones[Fecha],"&gt;="&amp;F31,tOperaciones[Fecha],"&lt;="&amp;'Configuración'!$C$8))</f>
        <v/>
      </c>
      <c r="M31" s="45" t="str">
        <f>IF(OR(B31="",COUNT(L31)=0,H31+SUMIFS(tOperaciones[Importe],tOperaciones[Producto],B31,tOperaciones[Tipo],"Compra",tOperaciones[Fecha],"&lt;="&amp;'Configuración'!$C$8)=0),"",L31/(H31+SUMIFS(tOperaciones[Importe],tOperaciones[Producto],B31,tOperaciones[Tipo],"Compra",tOperaciones[Fecha],"&lt;="&amp;'Configuración'!$C$8)))</f>
        <v/>
      </c>
      <c r="N31" s="45" t="str">
        <f>IF(OR(B31="",COUNT(K31)=0,COUNT(tProductos[Valor])&lt;&gt;COUNTA(tProductos[ID]),SUM(tProductos[Valor])=0),"",K31/SUM(tProductos[Valor]))</f>
        <v/>
      </c>
    </row>
    <row r="32" ht="27.75" customHeight="1">
      <c r="A32" s="1"/>
      <c r="B32" s="5"/>
      <c r="C32" s="5"/>
      <c r="D32" s="5"/>
      <c r="E32" s="5"/>
      <c r="F32" s="7"/>
      <c r="G32" s="40"/>
      <c r="H32" s="6"/>
      <c r="I32" s="41" t="str">
        <f>IF(OR(B32="",'Configuración'!$C$8&lt;F32),"",G32+SUMIFS(tOperaciones[Participaciones],tOperaciones[Producto],B32,tOperaciones[Tipo],"Compra",tOperaciones[Fecha],"&gt;="&amp;F32,tOperaciones[Fecha],"&lt;="&amp;'Configuración'!$C$8)-SUMIFS(tOperaciones[Participaciones],tOperaciones[Producto],B32,tOperaciones[Tipo],"Venta",tOperaciones[Fecha],"&gt;="&amp;F32,tOperaciones[Fecha],"&lt;="&amp;'Configuración'!$C$8))</f>
        <v/>
      </c>
      <c r="J32" s="9" t="str">
        <f>IF(OR(B32="",'Configuración'!$C$8&lt;F32),"",H32+SUMIFS(tOperaciones[Importe],tOperaciones[Producto],B32,tOperaciones[Tipo],"Compra",tOperaciones[Fecha],"&gt;="&amp;F32,tOperaciones[Fecha],"&lt;="&amp;'Configuración'!$C$8)-SUMIFS(tOperaciones[Importe],tOperaciones[Producto],B32,tOperaciones[Tipo],"Venta",tOperaciones[Fecha],"&gt;="&amp;F32,tOperaciones[Fecha],"&lt;="&amp;'Configuración'!$C$8))</f>
        <v/>
      </c>
      <c r="K32" s="9" t="str">
        <f>IF(OR(B32="",COUNT(I32)=0),"",IF(I32=0,0,IF(COUNTIFS(tPrecios[Producto],B32,tPrecios[Fecha],"&lt;="&amp;'Configuración'!$C$8)=0,"",I32*SUMIFS(tPrecios[VL EUR],tPrecios[Producto],B32,tPrecios[Fecha],MAXIFS(tPrecios[Fecha],tPrecios[Producto],B32,tPrecios[Fecha],"&lt;="&amp;'Configuración'!$C$8)))))</f>
        <v/>
      </c>
      <c r="L32" s="9" t="str">
        <f>IF(OR(B32="",COUNT(K32)=0),"",K32-J32+SUMIFS(tOperaciones[Importe],tOperaciones[Producto],B32,tOperaciones[Tipo],"Cobro",tOperaciones[Fecha],"&gt;="&amp;F32,tOperaciones[Fecha],"&lt;="&amp;'Configuración'!$C$8))</f>
        <v/>
      </c>
      <c r="M32" s="42" t="str">
        <f>IF(OR(B32="",COUNT(L32)=0,H32+SUMIFS(tOperaciones[Importe],tOperaciones[Producto],B32,tOperaciones[Tipo],"Compra",tOperaciones[Fecha],"&lt;="&amp;'Configuración'!$C$8)=0),"",L32/(H32+SUMIFS(tOperaciones[Importe],tOperaciones[Producto],B32,tOperaciones[Tipo],"Compra",tOperaciones[Fecha],"&lt;="&amp;'Configuración'!$C$8)))</f>
        <v/>
      </c>
      <c r="N32" s="42" t="str">
        <f>IF(OR(B32="",COUNT(K32)=0,COUNT(tProductos[Valor])&lt;&gt;COUNTA(tProductos[ID]),SUM(tProductos[Valor])=0),"",K32/SUM(tProductos[Valor]))</f>
        <v/>
      </c>
    </row>
    <row r="33" ht="27.75" customHeight="1">
      <c r="A33" s="1"/>
      <c r="B33" s="10"/>
      <c r="C33" s="10"/>
      <c r="D33" s="10"/>
      <c r="E33" s="10"/>
      <c r="F33" s="11"/>
      <c r="G33" s="43"/>
      <c r="H33" s="13"/>
      <c r="I33" s="44" t="str">
        <f>IF(OR(B33="",'Configuración'!$C$8&lt;F33),"",G33+SUMIFS(tOperaciones[Participaciones],tOperaciones[Producto],B33,tOperaciones[Tipo],"Compra",tOperaciones[Fecha],"&gt;="&amp;F33,tOperaciones[Fecha],"&lt;="&amp;'Configuración'!$C$8)-SUMIFS(tOperaciones[Participaciones],tOperaciones[Producto],B33,tOperaciones[Tipo],"Venta",tOperaciones[Fecha],"&gt;="&amp;F33,tOperaciones[Fecha],"&lt;="&amp;'Configuración'!$C$8))</f>
        <v/>
      </c>
      <c r="J33" s="14" t="str">
        <f>IF(OR(B33="",'Configuración'!$C$8&lt;F33),"",H33+SUMIFS(tOperaciones[Importe],tOperaciones[Producto],B33,tOperaciones[Tipo],"Compra",tOperaciones[Fecha],"&gt;="&amp;F33,tOperaciones[Fecha],"&lt;="&amp;'Configuración'!$C$8)-SUMIFS(tOperaciones[Importe],tOperaciones[Producto],B33,tOperaciones[Tipo],"Venta",tOperaciones[Fecha],"&gt;="&amp;F33,tOperaciones[Fecha],"&lt;="&amp;'Configuración'!$C$8))</f>
        <v/>
      </c>
      <c r="K33" s="14" t="str">
        <f>IF(OR(B33="",COUNT(I33)=0),"",IF(I33=0,0,IF(COUNTIFS(tPrecios[Producto],B33,tPrecios[Fecha],"&lt;="&amp;'Configuración'!$C$8)=0,"",I33*SUMIFS(tPrecios[VL EUR],tPrecios[Producto],B33,tPrecios[Fecha],MAXIFS(tPrecios[Fecha],tPrecios[Producto],B33,tPrecios[Fecha],"&lt;="&amp;'Configuración'!$C$8)))))</f>
        <v/>
      </c>
      <c r="L33" s="14" t="str">
        <f>IF(OR(B33="",COUNT(K33)=0),"",K33-J33+SUMIFS(tOperaciones[Importe],tOperaciones[Producto],B33,tOperaciones[Tipo],"Cobro",tOperaciones[Fecha],"&gt;="&amp;F33,tOperaciones[Fecha],"&lt;="&amp;'Configuración'!$C$8))</f>
        <v/>
      </c>
      <c r="M33" s="45" t="str">
        <f>IF(OR(B33="",COUNT(L33)=0,H33+SUMIFS(tOperaciones[Importe],tOperaciones[Producto],B33,tOperaciones[Tipo],"Compra",tOperaciones[Fecha],"&lt;="&amp;'Configuración'!$C$8)=0),"",L33/(H33+SUMIFS(tOperaciones[Importe],tOperaciones[Producto],B33,tOperaciones[Tipo],"Compra",tOperaciones[Fecha],"&lt;="&amp;'Configuración'!$C$8)))</f>
        <v/>
      </c>
      <c r="N33" s="45" t="str">
        <f>IF(OR(B33="",COUNT(K33)=0,COUNT(tProductos[Valor])&lt;&gt;COUNTA(tProductos[ID]),SUM(tProductos[Valor])=0),"",K33/SUM(tProductos[Valor]))</f>
        <v/>
      </c>
    </row>
    <row r="34" ht="27.75" customHeight="1">
      <c r="A34" s="1"/>
      <c r="B34" s="5"/>
      <c r="C34" s="5"/>
      <c r="D34" s="5"/>
      <c r="E34" s="5"/>
      <c r="F34" s="7"/>
      <c r="G34" s="40"/>
      <c r="H34" s="6"/>
      <c r="I34" s="41" t="str">
        <f>IF(OR(B34="",'Configuración'!$C$8&lt;F34),"",G34+SUMIFS(tOperaciones[Participaciones],tOperaciones[Producto],B34,tOperaciones[Tipo],"Compra",tOperaciones[Fecha],"&gt;="&amp;F34,tOperaciones[Fecha],"&lt;="&amp;'Configuración'!$C$8)-SUMIFS(tOperaciones[Participaciones],tOperaciones[Producto],B34,tOperaciones[Tipo],"Venta",tOperaciones[Fecha],"&gt;="&amp;F34,tOperaciones[Fecha],"&lt;="&amp;'Configuración'!$C$8))</f>
        <v/>
      </c>
      <c r="J34" s="9" t="str">
        <f>IF(OR(B34="",'Configuración'!$C$8&lt;F34),"",H34+SUMIFS(tOperaciones[Importe],tOperaciones[Producto],B34,tOperaciones[Tipo],"Compra",tOperaciones[Fecha],"&gt;="&amp;F34,tOperaciones[Fecha],"&lt;="&amp;'Configuración'!$C$8)-SUMIFS(tOperaciones[Importe],tOperaciones[Producto],B34,tOperaciones[Tipo],"Venta",tOperaciones[Fecha],"&gt;="&amp;F34,tOperaciones[Fecha],"&lt;="&amp;'Configuración'!$C$8))</f>
        <v/>
      </c>
      <c r="K34" s="9" t="str">
        <f>IF(OR(B34="",COUNT(I34)=0),"",IF(I34=0,0,IF(COUNTIFS(tPrecios[Producto],B34,tPrecios[Fecha],"&lt;="&amp;'Configuración'!$C$8)=0,"",I34*SUMIFS(tPrecios[VL EUR],tPrecios[Producto],B34,tPrecios[Fecha],MAXIFS(tPrecios[Fecha],tPrecios[Producto],B34,tPrecios[Fecha],"&lt;="&amp;'Configuración'!$C$8)))))</f>
        <v/>
      </c>
      <c r="L34" s="9" t="str">
        <f>IF(OR(B34="",COUNT(K34)=0),"",K34-J34+SUMIFS(tOperaciones[Importe],tOperaciones[Producto],B34,tOperaciones[Tipo],"Cobro",tOperaciones[Fecha],"&gt;="&amp;F34,tOperaciones[Fecha],"&lt;="&amp;'Configuración'!$C$8))</f>
        <v/>
      </c>
      <c r="M34" s="42" t="str">
        <f>IF(OR(B34="",COUNT(L34)=0,H34+SUMIFS(tOperaciones[Importe],tOperaciones[Producto],B34,tOperaciones[Tipo],"Compra",tOperaciones[Fecha],"&lt;="&amp;'Configuración'!$C$8)=0),"",L34/(H34+SUMIFS(tOperaciones[Importe],tOperaciones[Producto],B34,tOperaciones[Tipo],"Compra",tOperaciones[Fecha],"&lt;="&amp;'Configuración'!$C$8)))</f>
        <v/>
      </c>
      <c r="N34" s="42" t="str">
        <f>IF(OR(B34="",COUNT(K34)=0,COUNT(tProductos[Valor])&lt;&gt;COUNTA(tProductos[ID]),SUM(tProductos[Valor])=0),"",K34/SUM(tProductos[Valor]))</f>
        <v/>
      </c>
    </row>
    <row r="35" ht="27.75" customHeight="1">
      <c r="A35" s="1"/>
      <c r="B35" s="10"/>
      <c r="C35" s="10"/>
      <c r="D35" s="10"/>
      <c r="E35" s="10"/>
      <c r="F35" s="11"/>
      <c r="G35" s="43"/>
      <c r="H35" s="13"/>
      <c r="I35" s="44" t="str">
        <f>IF(OR(B35="",'Configuración'!$C$8&lt;F35),"",G35+SUMIFS(tOperaciones[Participaciones],tOperaciones[Producto],B35,tOperaciones[Tipo],"Compra",tOperaciones[Fecha],"&gt;="&amp;F35,tOperaciones[Fecha],"&lt;="&amp;'Configuración'!$C$8)-SUMIFS(tOperaciones[Participaciones],tOperaciones[Producto],B35,tOperaciones[Tipo],"Venta",tOperaciones[Fecha],"&gt;="&amp;F35,tOperaciones[Fecha],"&lt;="&amp;'Configuración'!$C$8))</f>
        <v/>
      </c>
      <c r="J35" s="14" t="str">
        <f>IF(OR(B35="",'Configuración'!$C$8&lt;F35),"",H35+SUMIFS(tOperaciones[Importe],tOperaciones[Producto],B35,tOperaciones[Tipo],"Compra",tOperaciones[Fecha],"&gt;="&amp;F35,tOperaciones[Fecha],"&lt;="&amp;'Configuración'!$C$8)-SUMIFS(tOperaciones[Importe],tOperaciones[Producto],B35,tOperaciones[Tipo],"Venta",tOperaciones[Fecha],"&gt;="&amp;F35,tOperaciones[Fecha],"&lt;="&amp;'Configuración'!$C$8))</f>
        <v/>
      </c>
      <c r="K35" s="14" t="str">
        <f>IF(OR(B35="",COUNT(I35)=0),"",IF(I35=0,0,IF(COUNTIFS(tPrecios[Producto],B35,tPrecios[Fecha],"&lt;="&amp;'Configuración'!$C$8)=0,"",I35*SUMIFS(tPrecios[VL EUR],tPrecios[Producto],B35,tPrecios[Fecha],MAXIFS(tPrecios[Fecha],tPrecios[Producto],B35,tPrecios[Fecha],"&lt;="&amp;'Configuración'!$C$8)))))</f>
        <v/>
      </c>
      <c r="L35" s="14" t="str">
        <f>IF(OR(B35="",COUNT(K35)=0),"",K35-J35+SUMIFS(tOperaciones[Importe],tOperaciones[Producto],B35,tOperaciones[Tipo],"Cobro",tOperaciones[Fecha],"&gt;="&amp;F35,tOperaciones[Fecha],"&lt;="&amp;'Configuración'!$C$8))</f>
        <v/>
      </c>
      <c r="M35" s="45" t="str">
        <f>IF(OR(B35="",COUNT(L35)=0,H35+SUMIFS(tOperaciones[Importe],tOperaciones[Producto],B35,tOperaciones[Tipo],"Compra",tOperaciones[Fecha],"&lt;="&amp;'Configuración'!$C$8)=0),"",L35/(H35+SUMIFS(tOperaciones[Importe],tOperaciones[Producto],B35,tOperaciones[Tipo],"Compra",tOperaciones[Fecha],"&lt;="&amp;'Configuración'!$C$8)))</f>
        <v/>
      </c>
      <c r="N35" s="45" t="str">
        <f>IF(OR(B35="",COUNT(K35)=0,COUNT(tProductos[Valor])&lt;&gt;COUNTA(tProductos[ID]),SUM(tProductos[Valor])=0),"",K35/SUM(tProductos[Valor]))</f>
        <v/>
      </c>
    </row>
    <row r="36" ht="27.75" customHeight="1">
      <c r="A36" s="1"/>
      <c r="B36" s="5"/>
      <c r="C36" s="5"/>
      <c r="D36" s="5"/>
      <c r="E36" s="5"/>
      <c r="F36" s="7"/>
      <c r="G36" s="40"/>
      <c r="H36" s="6"/>
      <c r="I36" s="41" t="str">
        <f>IF(OR(B36="",'Configuración'!$C$8&lt;F36),"",G36+SUMIFS(tOperaciones[Participaciones],tOperaciones[Producto],B36,tOperaciones[Tipo],"Compra",tOperaciones[Fecha],"&gt;="&amp;F36,tOperaciones[Fecha],"&lt;="&amp;'Configuración'!$C$8)-SUMIFS(tOperaciones[Participaciones],tOperaciones[Producto],B36,tOperaciones[Tipo],"Venta",tOperaciones[Fecha],"&gt;="&amp;F36,tOperaciones[Fecha],"&lt;="&amp;'Configuración'!$C$8))</f>
        <v/>
      </c>
      <c r="J36" s="9" t="str">
        <f>IF(OR(B36="",'Configuración'!$C$8&lt;F36),"",H36+SUMIFS(tOperaciones[Importe],tOperaciones[Producto],B36,tOperaciones[Tipo],"Compra",tOperaciones[Fecha],"&gt;="&amp;F36,tOperaciones[Fecha],"&lt;="&amp;'Configuración'!$C$8)-SUMIFS(tOperaciones[Importe],tOperaciones[Producto],B36,tOperaciones[Tipo],"Venta",tOperaciones[Fecha],"&gt;="&amp;F36,tOperaciones[Fecha],"&lt;="&amp;'Configuración'!$C$8))</f>
        <v/>
      </c>
      <c r="K36" s="9" t="str">
        <f>IF(OR(B36="",COUNT(I36)=0),"",IF(I36=0,0,IF(COUNTIFS(tPrecios[Producto],B36,tPrecios[Fecha],"&lt;="&amp;'Configuración'!$C$8)=0,"",I36*SUMIFS(tPrecios[VL EUR],tPrecios[Producto],B36,tPrecios[Fecha],MAXIFS(tPrecios[Fecha],tPrecios[Producto],B36,tPrecios[Fecha],"&lt;="&amp;'Configuración'!$C$8)))))</f>
        <v/>
      </c>
      <c r="L36" s="9" t="str">
        <f>IF(OR(B36="",COUNT(K36)=0),"",K36-J36+SUMIFS(tOperaciones[Importe],tOperaciones[Producto],B36,tOperaciones[Tipo],"Cobro",tOperaciones[Fecha],"&gt;="&amp;F36,tOperaciones[Fecha],"&lt;="&amp;'Configuración'!$C$8))</f>
        <v/>
      </c>
      <c r="M36" s="42" t="str">
        <f>IF(OR(B36="",COUNT(L36)=0,H36+SUMIFS(tOperaciones[Importe],tOperaciones[Producto],B36,tOperaciones[Tipo],"Compra",tOperaciones[Fecha],"&lt;="&amp;'Configuración'!$C$8)=0),"",L36/(H36+SUMIFS(tOperaciones[Importe],tOperaciones[Producto],B36,tOperaciones[Tipo],"Compra",tOperaciones[Fecha],"&lt;="&amp;'Configuración'!$C$8)))</f>
        <v/>
      </c>
      <c r="N36" s="42" t="str">
        <f>IF(OR(B36="",COUNT(K36)=0,COUNT(tProductos[Valor])&lt;&gt;COUNTA(tProductos[ID]),SUM(tProductos[Valor])=0),"",K36/SUM(tProductos[Valor]))</f>
        <v/>
      </c>
    </row>
    <row r="37" ht="27.75" customHeight="1">
      <c r="A37" s="1"/>
      <c r="B37" s="10"/>
      <c r="C37" s="10"/>
      <c r="D37" s="10"/>
      <c r="E37" s="10"/>
      <c r="F37" s="11"/>
      <c r="G37" s="43"/>
      <c r="H37" s="13"/>
      <c r="I37" s="44" t="str">
        <f>IF(OR(B37="",'Configuración'!$C$8&lt;F37),"",G37+SUMIFS(tOperaciones[Participaciones],tOperaciones[Producto],B37,tOperaciones[Tipo],"Compra",tOperaciones[Fecha],"&gt;="&amp;F37,tOperaciones[Fecha],"&lt;="&amp;'Configuración'!$C$8)-SUMIFS(tOperaciones[Participaciones],tOperaciones[Producto],B37,tOperaciones[Tipo],"Venta",tOperaciones[Fecha],"&gt;="&amp;F37,tOperaciones[Fecha],"&lt;="&amp;'Configuración'!$C$8))</f>
        <v/>
      </c>
      <c r="J37" s="14" t="str">
        <f>IF(OR(B37="",'Configuración'!$C$8&lt;F37),"",H37+SUMIFS(tOperaciones[Importe],tOperaciones[Producto],B37,tOperaciones[Tipo],"Compra",tOperaciones[Fecha],"&gt;="&amp;F37,tOperaciones[Fecha],"&lt;="&amp;'Configuración'!$C$8)-SUMIFS(tOperaciones[Importe],tOperaciones[Producto],B37,tOperaciones[Tipo],"Venta",tOperaciones[Fecha],"&gt;="&amp;F37,tOperaciones[Fecha],"&lt;="&amp;'Configuración'!$C$8))</f>
        <v/>
      </c>
      <c r="K37" s="14" t="str">
        <f>IF(OR(B37="",COUNT(I37)=0),"",IF(I37=0,0,IF(COUNTIFS(tPrecios[Producto],B37,tPrecios[Fecha],"&lt;="&amp;'Configuración'!$C$8)=0,"",I37*SUMIFS(tPrecios[VL EUR],tPrecios[Producto],B37,tPrecios[Fecha],MAXIFS(tPrecios[Fecha],tPrecios[Producto],B37,tPrecios[Fecha],"&lt;="&amp;'Configuración'!$C$8)))))</f>
        <v/>
      </c>
      <c r="L37" s="14" t="str">
        <f>IF(OR(B37="",COUNT(K37)=0),"",K37-J37+SUMIFS(tOperaciones[Importe],tOperaciones[Producto],B37,tOperaciones[Tipo],"Cobro",tOperaciones[Fecha],"&gt;="&amp;F37,tOperaciones[Fecha],"&lt;="&amp;'Configuración'!$C$8))</f>
        <v/>
      </c>
      <c r="M37" s="45" t="str">
        <f>IF(OR(B37="",COUNT(L37)=0,H37+SUMIFS(tOperaciones[Importe],tOperaciones[Producto],B37,tOperaciones[Tipo],"Compra",tOperaciones[Fecha],"&lt;="&amp;'Configuración'!$C$8)=0),"",L37/(H37+SUMIFS(tOperaciones[Importe],tOperaciones[Producto],B37,tOperaciones[Tipo],"Compra",tOperaciones[Fecha],"&lt;="&amp;'Configuración'!$C$8)))</f>
        <v/>
      </c>
      <c r="N37" s="45" t="str">
        <f>IF(OR(B37="",COUNT(K37)=0,COUNT(tProductos[Valor])&lt;&gt;COUNTA(tProductos[ID]),SUM(tProductos[Valor])=0),"",K37/SUM(tProductos[Valor]))</f>
        <v/>
      </c>
    </row>
    <row r="38" ht="27.75" customHeight="1">
      <c r="A38" s="1"/>
      <c r="B38" s="5"/>
      <c r="C38" s="5"/>
      <c r="D38" s="5"/>
      <c r="E38" s="5"/>
      <c r="F38" s="7"/>
      <c r="G38" s="40"/>
      <c r="H38" s="6"/>
      <c r="I38" s="41" t="str">
        <f>IF(OR(B38="",'Configuración'!$C$8&lt;F38),"",G38+SUMIFS(tOperaciones[Participaciones],tOperaciones[Producto],B38,tOperaciones[Tipo],"Compra",tOperaciones[Fecha],"&gt;="&amp;F38,tOperaciones[Fecha],"&lt;="&amp;'Configuración'!$C$8)-SUMIFS(tOperaciones[Participaciones],tOperaciones[Producto],B38,tOperaciones[Tipo],"Venta",tOperaciones[Fecha],"&gt;="&amp;F38,tOperaciones[Fecha],"&lt;="&amp;'Configuración'!$C$8))</f>
        <v/>
      </c>
      <c r="J38" s="9" t="str">
        <f>IF(OR(B38="",'Configuración'!$C$8&lt;F38),"",H38+SUMIFS(tOperaciones[Importe],tOperaciones[Producto],B38,tOperaciones[Tipo],"Compra",tOperaciones[Fecha],"&gt;="&amp;F38,tOperaciones[Fecha],"&lt;="&amp;'Configuración'!$C$8)-SUMIFS(tOperaciones[Importe],tOperaciones[Producto],B38,tOperaciones[Tipo],"Venta",tOperaciones[Fecha],"&gt;="&amp;F38,tOperaciones[Fecha],"&lt;="&amp;'Configuración'!$C$8))</f>
        <v/>
      </c>
      <c r="K38" s="9" t="str">
        <f>IF(OR(B38="",COUNT(I38)=0),"",IF(I38=0,0,IF(COUNTIFS(tPrecios[Producto],B38,tPrecios[Fecha],"&lt;="&amp;'Configuración'!$C$8)=0,"",I38*SUMIFS(tPrecios[VL EUR],tPrecios[Producto],B38,tPrecios[Fecha],MAXIFS(tPrecios[Fecha],tPrecios[Producto],B38,tPrecios[Fecha],"&lt;="&amp;'Configuración'!$C$8)))))</f>
        <v/>
      </c>
      <c r="L38" s="9" t="str">
        <f>IF(OR(B38="",COUNT(K38)=0),"",K38-J38+SUMIFS(tOperaciones[Importe],tOperaciones[Producto],B38,tOperaciones[Tipo],"Cobro",tOperaciones[Fecha],"&gt;="&amp;F38,tOperaciones[Fecha],"&lt;="&amp;'Configuración'!$C$8))</f>
        <v/>
      </c>
      <c r="M38" s="42" t="str">
        <f>IF(OR(B38="",COUNT(L38)=0,H38+SUMIFS(tOperaciones[Importe],tOperaciones[Producto],B38,tOperaciones[Tipo],"Compra",tOperaciones[Fecha],"&lt;="&amp;'Configuración'!$C$8)=0),"",L38/(H38+SUMIFS(tOperaciones[Importe],tOperaciones[Producto],B38,tOperaciones[Tipo],"Compra",tOperaciones[Fecha],"&lt;="&amp;'Configuración'!$C$8)))</f>
        <v/>
      </c>
      <c r="N38" s="42" t="str">
        <f>IF(OR(B38="",COUNT(K38)=0,COUNT(tProductos[Valor])&lt;&gt;COUNTA(tProductos[ID]),SUM(tProductos[Valor])=0),"",K38/SUM(tProductos[Valor]))</f>
        <v/>
      </c>
    </row>
    <row r="39" ht="27.75" customHeight="1">
      <c r="A39" s="1"/>
      <c r="B39" s="10"/>
      <c r="C39" s="10"/>
      <c r="D39" s="10"/>
      <c r="E39" s="10"/>
      <c r="F39" s="11"/>
      <c r="G39" s="43"/>
      <c r="H39" s="13"/>
      <c r="I39" s="44" t="str">
        <f>IF(OR(B39="",'Configuración'!$C$8&lt;F39),"",G39+SUMIFS(tOperaciones[Participaciones],tOperaciones[Producto],B39,tOperaciones[Tipo],"Compra",tOperaciones[Fecha],"&gt;="&amp;F39,tOperaciones[Fecha],"&lt;="&amp;'Configuración'!$C$8)-SUMIFS(tOperaciones[Participaciones],tOperaciones[Producto],B39,tOperaciones[Tipo],"Venta",tOperaciones[Fecha],"&gt;="&amp;F39,tOperaciones[Fecha],"&lt;="&amp;'Configuración'!$C$8))</f>
        <v/>
      </c>
      <c r="J39" s="14" t="str">
        <f>IF(OR(B39="",'Configuración'!$C$8&lt;F39),"",H39+SUMIFS(tOperaciones[Importe],tOperaciones[Producto],B39,tOperaciones[Tipo],"Compra",tOperaciones[Fecha],"&gt;="&amp;F39,tOperaciones[Fecha],"&lt;="&amp;'Configuración'!$C$8)-SUMIFS(tOperaciones[Importe],tOperaciones[Producto],B39,tOperaciones[Tipo],"Venta",tOperaciones[Fecha],"&gt;="&amp;F39,tOperaciones[Fecha],"&lt;="&amp;'Configuración'!$C$8))</f>
        <v/>
      </c>
      <c r="K39" s="14" t="str">
        <f>IF(OR(B39="",COUNT(I39)=0),"",IF(I39=0,0,IF(COUNTIFS(tPrecios[Producto],B39,tPrecios[Fecha],"&lt;="&amp;'Configuración'!$C$8)=0,"",I39*SUMIFS(tPrecios[VL EUR],tPrecios[Producto],B39,tPrecios[Fecha],MAXIFS(tPrecios[Fecha],tPrecios[Producto],B39,tPrecios[Fecha],"&lt;="&amp;'Configuración'!$C$8)))))</f>
        <v/>
      </c>
      <c r="L39" s="14" t="str">
        <f>IF(OR(B39="",COUNT(K39)=0),"",K39-J39+SUMIFS(tOperaciones[Importe],tOperaciones[Producto],B39,tOperaciones[Tipo],"Cobro",tOperaciones[Fecha],"&gt;="&amp;F39,tOperaciones[Fecha],"&lt;="&amp;'Configuración'!$C$8))</f>
        <v/>
      </c>
      <c r="M39" s="45" t="str">
        <f>IF(OR(B39="",COUNT(L39)=0,H39+SUMIFS(tOperaciones[Importe],tOperaciones[Producto],B39,tOperaciones[Tipo],"Compra",tOperaciones[Fecha],"&lt;="&amp;'Configuración'!$C$8)=0),"",L39/(H39+SUMIFS(tOperaciones[Importe],tOperaciones[Producto],B39,tOperaciones[Tipo],"Compra",tOperaciones[Fecha],"&lt;="&amp;'Configuración'!$C$8)))</f>
        <v/>
      </c>
      <c r="N39" s="45" t="str">
        <f>IF(OR(B39="",COUNT(K39)=0,COUNT(tProductos[Valor])&lt;&gt;COUNTA(tProductos[ID]),SUM(tProductos[Valor])=0),"",K39/SUM(tProductos[Valor]))</f>
        <v/>
      </c>
    </row>
    <row r="40" ht="27.75" customHeight="1">
      <c r="A40" s="1"/>
      <c r="B40" s="5"/>
      <c r="C40" s="5"/>
      <c r="D40" s="5"/>
      <c r="E40" s="5"/>
      <c r="F40" s="7"/>
      <c r="G40" s="40"/>
      <c r="H40" s="6"/>
      <c r="I40" s="41" t="str">
        <f>IF(OR(B40="",'Configuración'!$C$8&lt;F40),"",G40+SUMIFS(tOperaciones[Participaciones],tOperaciones[Producto],B40,tOperaciones[Tipo],"Compra",tOperaciones[Fecha],"&gt;="&amp;F40,tOperaciones[Fecha],"&lt;="&amp;'Configuración'!$C$8)-SUMIFS(tOperaciones[Participaciones],tOperaciones[Producto],B40,tOperaciones[Tipo],"Venta",tOperaciones[Fecha],"&gt;="&amp;F40,tOperaciones[Fecha],"&lt;="&amp;'Configuración'!$C$8))</f>
        <v/>
      </c>
      <c r="J40" s="9" t="str">
        <f>IF(OR(B40="",'Configuración'!$C$8&lt;F40),"",H40+SUMIFS(tOperaciones[Importe],tOperaciones[Producto],B40,tOperaciones[Tipo],"Compra",tOperaciones[Fecha],"&gt;="&amp;F40,tOperaciones[Fecha],"&lt;="&amp;'Configuración'!$C$8)-SUMIFS(tOperaciones[Importe],tOperaciones[Producto],B40,tOperaciones[Tipo],"Venta",tOperaciones[Fecha],"&gt;="&amp;F40,tOperaciones[Fecha],"&lt;="&amp;'Configuración'!$C$8))</f>
        <v/>
      </c>
      <c r="K40" s="9" t="str">
        <f>IF(OR(B40="",COUNT(I40)=0),"",IF(I40=0,0,IF(COUNTIFS(tPrecios[Producto],B40,tPrecios[Fecha],"&lt;="&amp;'Configuración'!$C$8)=0,"",I40*SUMIFS(tPrecios[VL EUR],tPrecios[Producto],B40,tPrecios[Fecha],MAXIFS(tPrecios[Fecha],tPrecios[Producto],B40,tPrecios[Fecha],"&lt;="&amp;'Configuración'!$C$8)))))</f>
        <v/>
      </c>
      <c r="L40" s="9" t="str">
        <f>IF(OR(B40="",COUNT(K40)=0),"",K40-J40+SUMIFS(tOperaciones[Importe],tOperaciones[Producto],B40,tOperaciones[Tipo],"Cobro",tOperaciones[Fecha],"&gt;="&amp;F40,tOperaciones[Fecha],"&lt;="&amp;'Configuración'!$C$8))</f>
        <v/>
      </c>
      <c r="M40" s="42" t="str">
        <f>IF(OR(B40="",COUNT(L40)=0,H40+SUMIFS(tOperaciones[Importe],tOperaciones[Producto],B40,tOperaciones[Tipo],"Compra",tOperaciones[Fecha],"&lt;="&amp;'Configuración'!$C$8)=0),"",L40/(H40+SUMIFS(tOperaciones[Importe],tOperaciones[Producto],B40,tOperaciones[Tipo],"Compra",tOperaciones[Fecha],"&lt;="&amp;'Configuración'!$C$8)))</f>
        <v/>
      </c>
      <c r="N40" s="42" t="str">
        <f>IF(OR(B40="",COUNT(K40)=0,COUNT(tProductos[Valor])&lt;&gt;COUNTA(tProductos[ID]),SUM(tProductos[Valor])=0),"",K40/SUM(tProductos[Valor]))</f>
        <v/>
      </c>
    </row>
    <row r="41" ht="27.75" customHeight="1">
      <c r="A41" s="1"/>
      <c r="B41" s="10"/>
      <c r="C41" s="10"/>
      <c r="D41" s="10"/>
      <c r="E41" s="10"/>
      <c r="F41" s="11"/>
      <c r="G41" s="43"/>
      <c r="H41" s="13"/>
      <c r="I41" s="44" t="str">
        <f>IF(OR(B41="",'Configuración'!$C$8&lt;F41),"",G41+SUMIFS(tOperaciones[Participaciones],tOperaciones[Producto],B41,tOperaciones[Tipo],"Compra",tOperaciones[Fecha],"&gt;="&amp;F41,tOperaciones[Fecha],"&lt;="&amp;'Configuración'!$C$8)-SUMIFS(tOperaciones[Participaciones],tOperaciones[Producto],B41,tOperaciones[Tipo],"Venta",tOperaciones[Fecha],"&gt;="&amp;F41,tOperaciones[Fecha],"&lt;="&amp;'Configuración'!$C$8))</f>
        <v/>
      </c>
      <c r="J41" s="14" t="str">
        <f>IF(OR(B41="",'Configuración'!$C$8&lt;F41),"",H41+SUMIFS(tOperaciones[Importe],tOperaciones[Producto],B41,tOperaciones[Tipo],"Compra",tOperaciones[Fecha],"&gt;="&amp;F41,tOperaciones[Fecha],"&lt;="&amp;'Configuración'!$C$8)-SUMIFS(tOperaciones[Importe],tOperaciones[Producto],B41,tOperaciones[Tipo],"Venta",tOperaciones[Fecha],"&gt;="&amp;F41,tOperaciones[Fecha],"&lt;="&amp;'Configuración'!$C$8))</f>
        <v/>
      </c>
      <c r="K41" s="14" t="str">
        <f>IF(OR(B41="",COUNT(I41)=0),"",IF(I41=0,0,IF(COUNTIFS(tPrecios[Producto],B41,tPrecios[Fecha],"&lt;="&amp;'Configuración'!$C$8)=0,"",I41*SUMIFS(tPrecios[VL EUR],tPrecios[Producto],B41,tPrecios[Fecha],MAXIFS(tPrecios[Fecha],tPrecios[Producto],B41,tPrecios[Fecha],"&lt;="&amp;'Configuración'!$C$8)))))</f>
        <v/>
      </c>
      <c r="L41" s="14" t="str">
        <f>IF(OR(B41="",COUNT(K41)=0),"",K41-J41+SUMIFS(tOperaciones[Importe],tOperaciones[Producto],B41,tOperaciones[Tipo],"Cobro",tOperaciones[Fecha],"&gt;="&amp;F41,tOperaciones[Fecha],"&lt;="&amp;'Configuración'!$C$8))</f>
        <v/>
      </c>
      <c r="M41" s="45" t="str">
        <f>IF(OR(B41="",COUNT(L41)=0,H41+SUMIFS(tOperaciones[Importe],tOperaciones[Producto],B41,tOperaciones[Tipo],"Compra",tOperaciones[Fecha],"&lt;="&amp;'Configuración'!$C$8)=0),"",L41/(H41+SUMIFS(tOperaciones[Importe],tOperaciones[Producto],B41,tOperaciones[Tipo],"Compra",tOperaciones[Fecha],"&lt;="&amp;'Configuración'!$C$8)))</f>
        <v/>
      </c>
      <c r="N41" s="45" t="str">
        <f>IF(OR(B41="",COUNT(K41)=0,COUNT(tProductos[Valor])&lt;&gt;COUNTA(tProductos[ID]),SUM(tProductos[Valor])=0),"",K41/SUM(tProductos[Valor]))</f>
        <v/>
      </c>
    </row>
    <row r="42" ht="27.75" customHeight="1">
      <c r="A42" s="1"/>
      <c r="B42" s="5"/>
      <c r="C42" s="5"/>
      <c r="D42" s="5"/>
      <c r="E42" s="5"/>
      <c r="F42" s="7"/>
      <c r="G42" s="40"/>
      <c r="H42" s="6"/>
      <c r="I42" s="41" t="str">
        <f>IF(OR(B42="",'Configuración'!$C$8&lt;F42),"",G42+SUMIFS(tOperaciones[Participaciones],tOperaciones[Producto],B42,tOperaciones[Tipo],"Compra",tOperaciones[Fecha],"&gt;="&amp;F42,tOperaciones[Fecha],"&lt;="&amp;'Configuración'!$C$8)-SUMIFS(tOperaciones[Participaciones],tOperaciones[Producto],B42,tOperaciones[Tipo],"Venta",tOperaciones[Fecha],"&gt;="&amp;F42,tOperaciones[Fecha],"&lt;="&amp;'Configuración'!$C$8))</f>
        <v/>
      </c>
      <c r="J42" s="9" t="str">
        <f>IF(OR(B42="",'Configuración'!$C$8&lt;F42),"",H42+SUMIFS(tOperaciones[Importe],tOperaciones[Producto],B42,tOperaciones[Tipo],"Compra",tOperaciones[Fecha],"&gt;="&amp;F42,tOperaciones[Fecha],"&lt;="&amp;'Configuración'!$C$8)-SUMIFS(tOperaciones[Importe],tOperaciones[Producto],B42,tOperaciones[Tipo],"Venta",tOperaciones[Fecha],"&gt;="&amp;F42,tOperaciones[Fecha],"&lt;="&amp;'Configuración'!$C$8))</f>
        <v/>
      </c>
      <c r="K42" s="9" t="str">
        <f>IF(OR(B42="",COUNT(I42)=0),"",IF(I42=0,0,IF(COUNTIFS(tPrecios[Producto],B42,tPrecios[Fecha],"&lt;="&amp;'Configuración'!$C$8)=0,"",I42*SUMIFS(tPrecios[VL EUR],tPrecios[Producto],B42,tPrecios[Fecha],MAXIFS(tPrecios[Fecha],tPrecios[Producto],B42,tPrecios[Fecha],"&lt;="&amp;'Configuración'!$C$8)))))</f>
        <v/>
      </c>
      <c r="L42" s="9" t="str">
        <f>IF(OR(B42="",COUNT(K42)=0),"",K42-J42+SUMIFS(tOperaciones[Importe],tOperaciones[Producto],B42,tOperaciones[Tipo],"Cobro",tOperaciones[Fecha],"&gt;="&amp;F42,tOperaciones[Fecha],"&lt;="&amp;'Configuración'!$C$8))</f>
        <v/>
      </c>
      <c r="M42" s="42" t="str">
        <f>IF(OR(B42="",COUNT(L42)=0,H42+SUMIFS(tOperaciones[Importe],tOperaciones[Producto],B42,tOperaciones[Tipo],"Compra",tOperaciones[Fecha],"&lt;="&amp;'Configuración'!$C$8)=0),"",L42/(H42+SUMIFS(tOperaciones[Importe],tOperaciones[Producto],B42,tOperaciones[Tipo],"Compra",tOperaciones[Fecha],"&lt;="&amp;'Configuración'!$C$8)))</f>
        <v/>
      </c>
      <c r="N42" s="42" t="str">
        <f>IF(OR(B42="",COUNT(K42)=0,COUNT(tProductos[Valor])&lt;&gt;COUNTA(tProductos[ID]),SUM(tProductos[Valor])=0),"",K42/SUM(tProductos[Valor]))</f>
        <v/>
      </c>
    </row>
    <row r="43" ht="27.75" customHeight="1">
      <c r="A43" s="1"/>
      <c r="B43" s="10"/>
      <c r="C43" s="10"/>
      <c r="D43" s="10"/>
      <c r="E43" s="10"/>
      <c r="F43" s="11"/>
      <c r="G43" s="43"/>
      <c r="H43" s="13"/>
      <c r="I43" s="44" t="str">
        <f>IF(OR(B43="",'Configuración'!$C$8&lt;F43),"",G43+SUMIFS(tOperaciones[Participaciones],tOperaciones[Producto],B43,tOperaciones[Tipo],"Compra",tOperaciones[Fecha],"&gt;="&amp;F43,tOperaciones[Fecha],"&lt;="&amp;'Configuración'!$C$8)-SUMIFS(tOperaciones[Participaciones],tOperaciones[Producto],B43,tOperaciones[Tipo],"Venta",tOperaciones[Fecha],"&gt;="&amp;F43,tOperaciones[Fecha],"&lt;="&amp;'Configuración'!$C$8))</f>
        <v/>
      </c>
      <c r="J43" s="14" t="str">
        <f>IF(OR(B43="",'Configuración'!$C$8&lt;F43),"",H43+SUMIFS(tOperaciones[Importe],tOperaciones[Producto],B43,tOperaciones[Tipo],"Compra",tOperaciones[Fecha],"&gt;="&amp;F43,tOperaciones[Fecha],"&lt;="&amp;'Configuración'!$C$8)-SUMIFS(tOperaciones[Importe],tOperaciones[Producto],B43,tOperaciones[Tipo],"Venta",tOperaciones[Fecha],"&gt;="&amp;F43,tOperaciones[Fecha],"&lt;="&amp;'Configuración'!$C$8))</f>
        <v/>
      </c>
      <c r="K43" s="14" t="str">
        <f>IF(OR(B43="",COUNT(I43)=0),"",IF(I43=0,0,IF(COUNTIFS(tPrecios[Producto],B43,tPrecios[Fecha],"&lt;="&amp;'Configuración'!$C$8)=0,"",I43*SUMIFS(tPrecios[VL EUR],tPrecios[Producto],B43,tPrecios[Fecha],MAXIFS(tPrecios[Fecha],tPrecios[Producto],B43,tPrecios[Fecha],"&lt;="&amp;'Configuración'!$C$8)))))</f>
        <v/>
      </c>
      <c r="L43" s="14" t="str">
        <f>IF(OR(B43="",COUNT(K43)=0),"",K43-J43+SUMIFS(tOperaciones[Importe],tOperaciones[Producto],B43,tOperaciones[Tipo],"Cobro",tOperaciones[Fecha],"&gt;="&amp;F43,tOperaciones[Fecha],"&lt;="&amp;'Configuración'!$C$8))</f>
        <v/>
      </c>
      <c r="M43" s="45" t="str">
        <f>IF(OR(B43="",COUNT(L43)=0,H43+SUMIFS(tOperaciones[Importe],tOperaciones[Producto],B43,tOperaciones[Tipo],"Compra",tOperaciones[Fecha],"&lt;="&amp;'Configuración'!$C$8)=0),"",L43/(H43+SUMIFS(tOperaciones[Importe],tOperaciones[Producto],B43,tOperaciones[Tipo],"Compra",tOperaciones[Fecha],"&lt;="&amp;'Configuración'!$C$8)))</f>
        <v/>
      </c>
      <c r="N43" s="45" t="str">
        <f>IF(OR(B43="",COUNT(K43)=0,COUNT(tProductos[Valor])&lt;&gt;COUNTA(tProductos[ID]),SUM(tProductos[Valor])=0),"",K43/SUM(tProductos[Valor]))</f>
        <v/>
      </c>
    </row>
    <row r="44" ht="27.75" customHeight="1">
      <c r="A44" s="1"/>
      <c r="B44" s="5"/>
      <c r="C44" s="5"/>
      <c r="D44" s="5"/>
      <c r="E44" s="5"/>
      <c r="F44" s="7"/>
      <c r="G44" s="40"/>
      <c r="H44" s="6"/>
      <c r="I44" s="41" t="str">
        <f>IF(OR(B44="",'Configuración'!$C$8&lt;F44),"",G44+SUMIFS(tOperaciones[Participaciones],tOperaciones[Producto],B44,tOperaciones[Tipo],"Compra",tOperaciones[Fecha],"&gt;="&amp;F44,tOperaciones[Fecha],"&lt;="&amp;'Configuración'!$C$8)-SUMIFS(tOperaciones[Participaciones],tOperaciones[Producto],B44,tOperaciones[Tipo],"Venta",tOperaciones[Fecha],"&gt;="&amp;F44,tOperaciones[Fecha],"&lt;="&amp;'Configuración'!$C$8))</f>
        <v/>
      </c>
      <c r="J44" s="9" t="str">
        <f>IF(OR(B44="",'Configuración'!$C$8&lt;F44),"",H44+SUMIFS(tOperaciones[Importe],tOperaciones[Producto],B44,tOperaciones[Tipo],"Compra",tOperaciones[Fecha],"&gt;="&amp;F44,tOperaciones[Fecha],"&lt;="&amp;'Configuración'!$C$8)-SUMIFS(tOperaciones[Importe],tOperaciones[Producto],B44,tOperaciones[Tipo],"Venta",tOperaciones[Fecha],"&gt;="&amp;F44,tOperaciones[Fecha],"&lt;="&amp;'Configuración'!$C$8))</f>
        <v/>
      </c>
      <c r="K44" s="9" t="str">
        <f>IF(OR(B44="",COUNT(I44)=0),"",IF(I44=0,0,IF(COUNTIFS(tPrecios[Producto],B44,tPrecios[Fecha],"&lt;="&amp;'Configuración'!$C$8)=0,"",I44*SUMIFS(tPrecios[VL EUR],tPrecios[Producto],B44,tPrecios[Fecha],MAXIFS(tPrecios[Fecha],tPrecios[Producto],B44,tPrecios[Fecha],"&lt;="&amp;'Configuración'!$C$8)))))</f>
        <v/>
      </c>
      <c r="L44" s="9" t="str">
        <f>IF(OR(B44="",COUNT(K44)=0),"",K44-J44+SUMIFS(tOperaciones[Importe],tOperaciones[Producto],B44,tOperaciones[Tipo],"Cobro",tOperaciones[Fecha],"&gt;="&amp;F44,tOperaciones[Fecha],"&lt;="&amp;'Configuración'!$C$8))</f>
        <v/>
      </c>
      <c r="M44" s="42" t="str">
        <f>IF(OR(B44="",COUNT(L44)=0,H44+SUMIFS(tOperaciones[Importe],tOperaciones[Producto],B44,tOperaciones[Tipo],"Compra",tOperaciones[Fecha],"&lt;="&amp;'Configuración'!$C$8)=0),"",L44/(H44+SUMIFS(tOperaciones[Importe],tOperaciones[Producto],B44,tOperaciones[Tipo],"Compra",tOperaciones[Fecha],"&lt;="&amp;'Configuración'!$C$8)))</f>
        <v/>
      </c>
      <c r="N44" s="42" t="str">
        <f>IF(OR(B44="",COUNT(K44)=0,COUNT(tProductos[Valor])&lt;&gt;COUNTA(tProductos[ID]),SUM(tProductos[Valor])=0),"",K44/SUM(tProductos[Valor]))</f>
        <v/>
      </c>
    </row>
    <row r="45" ht="27.75" customHeight="1">
      <c r="A45" s="1"/>
      <c r="B45" s="10"/>
      <c r="C45" s="10"/>
      <c r="D45" s="10"/>
      <c r="E45" s="10"/>
      <c r="F45" s="11"/>
      <c r="G45" s="43"/>
      <c r="H45" s="13"/>
      <c r="I45" s="44" t="str">
        <f>IF(OR(B45="",'Configuración'!$C$8&lt;F45),"",G45+SUMIFS(tOperaciones[Participaciones],tOperaciones[Producto],B45,tOperaciones[Tipo],"Compra",tOperaciones[Fecha],"&gt;="&amp;F45,tOperaciones[Fecha],"&lt;="&amp;'Configuración'!$C$8)-SUMIFS(tOperaciones[Participaciones],tOperaciones[Producto],B45,tOperaciones[Tipo],"Venta",tOperaciones[Fecha],"&gt;="&amp;F45,tOperaciones[Fecha],"&lt;="&amp;'Configuración'!$C$8))</f>
        <v/>
      </c>
      <c r="J45" s="14" t="str">
        <f>IF(OR(B45="",'Configuración'!$C$8&lt;F45),"",H45+SUMIFS(tOperaciones[Importe],tOperaciones[Producto],B45,tOperaciones[Tipo],"Compra",tOperaciones[Fecha],"&gt;="&amp;F45,tOperaciones[Fecha],"&lt;="&amp;'Configuración'!$C$8)-SUMIFS(tOperaciones[Importe],tOperaciones[Producto],B45,tOperaciones[Tipo],"Venta",tOperaciones[Fecha],"&gt;="&amp;F45,tOperaciones[Fecha],"&lt;="&amp;'Configuración'!$C$8))</f>
        <v/>
      </c>
      <c r="K45" s="14" t="str">
        <f>IF(OR(B45="",COUNT(I45)=0),"",IF(I45=0,0,IF(COUNTIFS(tPrecios[Producto],B45,tPrecios[Fecha],"&lt;="&amp;'Configuración'!$C$8)=0,"",I45*SUMIFS(tPrecios[VL EUR],tPrecios[Producto],B45,tPrecios[Fecha],MAXIFS(tPrecios[Fecha],tPrecios[Producto],B45,tPrecios[Fecha],"&lt;="&amp;'Configuración'!$C$8)))))</f>
        <v/>
      </c>
      <c r="L45" s="14" t="str">
        <f>IF(OR(B45="",COUNT(K45)=0),"",K45-J45+SUMIFS(tOperaciones[Importe],tOperaciones[Producto],B45,tOperaciones[Tipo],"Cobro",tOperaciones[Fecha],"&gt;="&amp;F45,tOperaciones[Fecha],"&lt;="&amp;'Configuración'!$C$8))</f>
        <v/>
      </c>
      <c r="M45" s="45" t="str">
        <f>IF(OR(B45="",COUNT(L45)=0,H45+SUMIFS(tOperaciones[Importe],tOperaciones[Producto],B45,tOperaciones[Tipo],"Compra",tOperaciones[Fecha],"&lt;="&amp;'Configuración'!$C$8)=0),"",L45/(H45+SUMIFS(tOperaciones[Importe],tOperaciones[Producto],B45,tOperaciones[Tipo],"Compra",tOperaciones[Fecha],"&lt;="&amp;'Configuración'!$C$8)))</f>
        <v/>
      </c>
      <c r="N45" s="45" t="str">
        <f>IF(OR(B45="",COUNT(K45)=0,COUNT(tProductos[Valor])&lt;&gt;COUNTA(tProductos[ID]),SUM(tProductos[Valor])=0),"",K45/SUM(tProductos[Valor]))</f>
        <v/>
      </c>
    </row>
    <row r="46" ht="27.75" customHeight="1">
      <c r="A46" s="1"/>
      <c r="B46" s="5"/>
      <c r="C46" s="5"/>
      <c r="D46" s="5"/>
      <c r="E46" s="5"/>
      <c r="F46" s="7"/>
      <c r="G46" s="40"/>
      <c r="H46" s="6"/>
      <c r="I46" s="41" t="str">
        <f>IF(OR(B46="",'Configuración'!$C$8&lt;F46),"",G46+SUMIFS(tOperaciones[Participaciones],tOperaciones[Producto],B46,tOperaciones[Tipo],"Compra",tOperaciones[Fecha],"&gt;="&amp;F46,tOperaciones[Fecha],"&lt;="&amp;'Configuración'!$C$8)-SUMIFS(tOperaciones[Participaciones],tOperaciones[Producto],B46,tOperaciones[Tipo],"Venta",tOperaciones[Fecha],"&gt;="&amp;F46,tOperaciones[Fecha],"&lt;="&amp;'Configuración'!$C$8))</f>
        <v/>
      </c>
      <c r="J46" s="9" t="str">
        <f>IF(OR(B46="",'Configuración'!$C$8&lt;F46),"",H46+SUMIFS(tOperaciones[Importe],tOperaciones[Producto],B46,tOperaciones[Tipo],"Compra",tOperaciones[Fecha],"&gt;="&amp;F46,tOperaciones[Fecha],"&lt;="&amp;'Configuración'!$C$8)-SUMIFS(tOperaciones[Importe],tOperaciones[Producto],B46,tOperaciones[Tipo],"Venta",tOperaciones[Fecha],"&gt;="&amp;F46,tOperaciones[Fecha],"&lt;="&amp;'Configuración'!$C$8))</f>
        <v/>
      </c>
      <c r="K46" s="9" t="str">
        <f>IF(OR(B46="",COUNT(I46)=0),"",IF(I46=0,0,IF(COUNTIFS(tPrecios[Producto],B46,tPrecios[Fecha],"&lt;="&amp;'Configuración'!$C$8)=0,"",I46*SUMIFS(tPrecios[VL EUR],tPrecios[Producto],B46,tPrecios[Fecha],MAXIFS(tPrecios[Fecha],tPrecios[Producto],B46,tPrecios[Fecha],"&lt;="&amp;'Configuración'!$C$8)))))</f>
        <v/>
      </c>
      <c r="L46" s="9" t="str">
        <f>IF(OR(B46="",COUNT(K46)=0),"",K46-J46+SUMIFS(tOperaciones[Importe],tOperaciones[Producto],B46,tOperaciones[Tipo],"Cobro",tOperaciones[Fecha],"&gt;="&amp;F46,tOperaciones[Fecha],"&lt;="&amp;'Configuración'!$C$8))</f>
        <v/>
      </c>
      <c r="M46" s="42" t="str">
        <f>IF(OR(B46="",COUNT(L46)=0,H46+SUMIFS(tOperaciones[Importe],tOperaciones[Producto],B46,tOperaciones[Tipo],"Compra",tOperaciones[Fecha],"&lt;="&amp;'Configuración'!$C$8)=0),"",L46/(H46+SUMIFS(tOperaciones[Importe],tOperaciones[Producto],B46,tOperaciones[Tipo],"Compra",tOperaciones[Fecha],"&lt;="&amp;'Configuración'!$C$8)))</f>
        <v/>
      </c>
      <c r="N46" s="42" t="str">
        <f>IF(OR(B46="",COUNT(K46)=0,COUNT(tProductos[Valor])&lt;&gt;COUNTA(tProductos[ID]),SUM(tProductos[Valor])=0),"",K46/SUM(tProductos[Valor]))</f>
        <v/>
      </c>
    </row>
    <row r="47" ht="27.75" customHeight="1">
      <c r="A47" s="1"/>
      <c r="B47" s="10"/>
      <c r="C47" s="10"/>
      <c r="D47" s="10"/>
      <c r="E47" s="10"/>
      <c r="F47" s="11"/>
      <c r="G47" s="43"/>
      <c r="H47" s="13"/>
      <c r="I47" s="44" t="str">
        <f>IF(OR(B47="",'Configuración'!$C$8&lt;F47),"",G47+SUMIFS(tOperaciones[Participaciones],tOperaciones[Producto],B47,tOperaciones[Tipo],"Compra",tOperaciones[Fecha],"&gt;="&amp;F47,tOperaciones[Fecha],"&lt;="&amp;'Configuración'!$C$8)-SUMIFS(tOperaciones[Participaciones],tOperaciones[Producto],B47,tOperaciones[Tipo],"Venta",tOperaciones[Fecha],"&gt;="&amp;F47,tOperaciones[Fecha],"&lt;="&amp;'Configuración'!$C$8))</f>
        <v/>
      </c>
      <c r="J47" s="14" t="str">
        <f>IF(OR(B47="",'Configuración'!$C$8&lt;F47),"",H47+SUMIFS(tOperaciones[Importe],tOperaciones[Producto],B47,tOperaciones[Tipo],"Compra",tOperaciones[Fecha],"&gt;="&amp;F47,tOperaciones[Fecha],"&lt;="&amp;'Configuración'!$C$8)-SUMIFS(tOperaciones[Importe],tOperaciones[Producto],B47,tOperaciones[Tipo],"Venta",tOperaciones[Fecha],"&gt;="&amp;F47,tOperaciones[Fecha],"&lt;="&amp;'Configuración'!$C$8))</f>
        <v/>
      </c>
      <c r="K47" s="14" t="str">
        <f>IF(OR(B47="",COUNT(I47)=0),"",IF(I47=0,0,IF(COUNTIFS(tPrecios[Producto],B47,tPrecios[Fecha],"&lt;="&amp;'Configuración'!$C$8)=0,"",I47*SUMIFS(tPrecios[VL EUR],tPrecios[Producto],B47,tPrecios[Fecha],MAXIFS(tPrecios[Fecha],tPrecios[Producto],B47,tPrecios[Fecha],"&lt;="&amp;'Configuración'!$C$8)))))</f>
        <v/>
      </c>
      <c r="L47" s="14" t="str">
        <f>IF(OR(B47="",COUNT(K47)=0),"",K47-J47+SUMIFS(tOperaciones[Importe],tOperaciones[Producto],B47,tOperaciones[Tipo],"Cobro",tOperaciones[Fecha],"&gt;="&amp;F47,tOperaciones[Fecha],"&lt;="&amp;'Configuración'!$C$8))</f>
        <v/>
      </c>
      <c r="M47" s="45" t="str">
        <f>IF(OR(B47="",COUNT(L47)=0,H47+SUMIFS(tOperaciones[Importe],tOperaciones[Producto],B47,tOperaciones[Tipo],"Compra",tOperaciones[Fecha],"&lt;="&amp;'Configuración'!$C$8)=0),"",L47/(H47+SUMIFS(tOperaciones[Importe],tOperaciones[Producto],B47,tOperaciones[Tipo],"Compra",tOperaciones[Fecha],"&lt;="&amp;'Configuración'!$C$8)))</f>
        <v/>
      </c>
      <c r="N47" s="45" t="str">
        <f>IF(OR(B47="",COUNT(K47)=0,COUNT(tProductos[Valor])&lt;&gt;COUNTA(tProductos[ID]),SUM(tProductos[Valor])=0),"",K47/SUM(tProductos[Valor]))</f>
        <v/>
      </c>
    </row>
    <row r="48" ht="27.75" customHeight="1">
      <c r="A48" s="1"/>
      <c r="B48" s="5"/>
      <c r="C48" s="5"/>
      <c r="D48" s="5"/>
      <c r="E48" s="5"/>
      <c r="F48" s="7"/>
      <c r="G48" s="40"/>
      <c r="H48" s="6"/>
      <c r="I48" s="41" t="str">
        <f>IF(OR(B48="",'Configuración'!$C$8&lt;F48),"",G48+SUMIFS(tOperaciones[Participaciones],tOperaciones[Producto],B48,tOperaciones[Tipo],"Compra",tOperaciones[Fecha],"&gt;="&amp;F48,tOperaciones[Fecha],"&lt;="&amp;'Configuración'!$C$8)-SUMIFS(tOperaciones[Participaciones],tOperaciones[Producto],B48,tOperaciones[Tipo],"Venta",tOperaciones[Fecha],"&gt;="&amp;F48,tOperaciones[Fecha],"&lt;="&amp;'Configuración'!$C$8))</f>
        <v/>
      </c>
      <c r="J48" s="9" t="str">
        <f>IF(OR(B48="",'Configuración'!$C$8&lt;F48),"",H48+SUMIFS(tOperaciones[Importe],tOperaciones[Producto],B48,tOperaciones[Tipo],"Compra",tOperaciones[Fecha],"&gt;="&amp;F48,tOperaciones[Fecha],"&lt;="&amp;'Configuración'!$C$8)-SUMIFS(tOperaciones[Importe],tOperaciones[Producto],B48,tOperaciones[Tipo],"Venta",tOperaciones[Fecha],"&gt;="&amp;F48,tOperaciones[Fecha],"&lt;="&amp;'Configuración'!$C$8))</f>
        <v/>
      </c>
      <c r="K48" s="9" t="str">
        <f>IF(OR(B48="",COUNT(I48)=0),"",IF(I48=0,0,IF(COUNTIFS(tPrecios[Producto],B48,tPrecios[Fecha],"&lt;="&amp;'Configuración'!$C$8)=0,"",I48*SUMIFS(tPrecios[VL EUR],tPrecios[Producto],B48,tPrecios[Fecha],MAXIFS(tPrecios[Fecha],tPrecios[Producto],B48,tPrecios[Fecha],"&lt;="&amp;'Configuración'!$C$8)))))</f>
        <v/>
      </c>
      <c r="L48" s="9" t="str">
        <f>IF(OR(B48="",COUNT(K48)=0),"",K48-J48+SUMIFS(tOperaciones[Importe],tOperaciones[Producto],B48,tOperaciones[Tipo],"Cobro",tOperaciones[Fecha],"&gt;="&amp;F48,tOperaciones[Fecha],"&lt;="&amp;'Configuración'!$C$8))</f>
        <v/>
      </c>
      <c r="M48" s="42" t="str">
        <f>IF(OR(B48="",COUNT(L48)=0,H48+SUMIFS(tOperaciones[Importe],tOperaciones[Producto],B48,tOperaciones[Tipo],"Compra",tOperaciones[Fecha],"&lt;="&amp;'Configuración'!$C$8)=0),"",L48/(H48+SUMIFS(tOperaciones[Importe],tOperaciones[Producto],B48,tOperaciones[Tipo],"Compra",tOperaciones[Fecha],"&lt;="&amp;'Configuración'!$C$8)))</f>
        <v/>
      </c>
      <c r="N48" s="42" t="str">
        <f>IF(OR(B48="",COUNT(K48)=0,COUNT(tProductos[Valor])&lt;&gt;COUNTA(tProductos[ID]),SUM(tProductos[Valor])=0),"",K48/SUM(tProductos[Valor]))</f>
        <v/>
      </c>
    </row>
    <row r="49" ht="27.75" customHeight="1">
      <c r="A49" s="1"/>
      <c r="B49" s="10"/>
      <c r="C49" s="10"/>
      <c r="D49" s="10"/>
      <c r="E49" s="10"/>
      <c r="F49" s="11"/>
      <c r="G49" s="43"/>
      <c r="H49" s="13"/>
      <c r="I49" s="44" t="str">
        <f>IF(OR(B49="",'Configuración'!$C$8&lt;F49),"",G49+SUMIFS(tOperaciones[Participaciones],tOperaciones[Producto],B49,tOperaciones[Tipo],"Compra",tOperaciones[Fecha],"&gt;="&amp;F49,tOperaciones[Fecha],"&lt;="&amp;'Configuración'!$C$8)-SUMIFS(tOperaciones[Participaciones],tOperaciones[Producto],B49,tOperaciones[Tipo],"Venta",tOperaciones[Fecha],"&gt;="&amp;F49,tOperaciones[Fecha],"&lt;="&amp;'Configuración'!$C$8))</f>
        <v/>
      </c>
      <c r="J49" s="14" t="str">
        <f>IF(OR(B49="",'Configuración'!$C$8&lt;F49),"",H49+SUMIFS(tOperaciones[Importe],tOperaciones[Producto],B49,tOperaciones[Tipo],"Compra",tOperaciones[Fecha],"&gt;="&amp;F49,tOperaciones[Fecha],"&lt;="&amp;'Configuración'!$C$8)-SUMIFS(tOperaciones[Importe],tOperaciones[Producto],B49,tOperaciones[Tipo],"Venta",tOperaciones[Fecha],"&gt;="&amp;F49,tOperaciones[Fecha],"&lt;="&amp;'Configuración'!$C$8))</f>
        <v/>
      </c>
      <c r="K49" s="14" t="str">
        <f>IF(OR(B49="",COUNT(I49)=0),"",IF(I49=0,0,IF(COUNTIFS(tPrecios[Producto],B49,tPrecios[Fecha],"&lt;="&amp;'Configuración'!$C$8)=0,"",I49*SUMIFS(tPrecios[VL EUR],tPrecios[Producto],B49,tPrecios[Fecha],MAXIFS(tPrecios[Fecha],tPrecios[Producto],B49,tPrecios[Fecha],"&lt;="&amp;'Configuración'!$C$8)))))</f>
        <v/>
      </c>
      <c r="L49" s="14" t="str">
        <f>IF(OR(B49="",COUNT(K49)=0),"",K49-J49+SUMIFS(tOperaciones[Importe],tOperaciones[Producto],B49,tOperaciones[Tipo],"Cobro",tOperaciones[Fecha],"&gt;="&amp;F49,tOperaciones[Fecha],"&lt;="&amp;'Configuración'!$C$8))</f>
        <v/>
      </c>
      <c r="M49" s="45" t="str">
        <f>IF(OR(B49="",COUNT(L49)=0,H49+SUMIFS(tOperaciones[Importe],tOperaciones[Producto],B49,tOperaciones[Tipo],"Compra",tOperaciones[Fecha],"&lt;="&amp;'Configuración'!$C$8)=0),"",L49/(H49+SUMIFS(tOperaciones[Importe],tOperaciones[Producto],B49,tOperaciones[Tipo],"Compra",tOperaciones[Fecha],"&lt;="&amp;'Configuración'!$C$8)))</f>
        <v/>
      </c>
      <c r="N49" s="45" t="str">
        <f>IF(OR(B49="",COUNT(K49)=0,COUNT(tProductos[Valor])&lt;&gt;COUNTA(tProductos[ID]),SUM(tProductos[Valor])=0),"",K49/SUM(tProductos[Valor]))</f>
        <v/>
      </c>
    </row>
    <row r="50" ht="27.75" customHeight="1">
      <c r="A50" s="1"/>
      <c r="B50" s="10"/>
      <c r="C50" s="10"/>
      <c r="D50" s="10"/>
      <c r="E50" s="10"/>
      <c r="F50" s="11"/>
      <c r="G50" s="43"/>
      <c r="H50" s="13"/>
      <c r="I50" s="44" t="str">
        <f>IF(OR(B50="",'Configuración'!$C$8&lt;F50),"",G50+SUMIFS(tOperaciones[Participaciones],tOperaciones[Producto],B50,tOperaciones[Tipo],"Compra",tOperaciones[Fecha],"&gt;="&amp;F50,tOperaciones[Fecha],"&lt;="&amp;'Configuración'!$C$8)-SUMIFS(tOperaciones[Participaciones],tOperaciones[Producto],B50,tOperaciones[Tipo],"Venta",tOperaciones[Fecha],"&gt;="&amp;F50,tOperaciones[Fecha],"&lt;="&amp;'Configuración'!$C$8))</f>
        <v/>
      </c>
      <c r="J50" s="14" t="str">
        <f>IF(OR(B50="",'Configuración'!$C$8&lt;F50),"",H50+SUMIFS(tOperaciones[Importe],tOperaciones[Producto],B50,tOperaciones[Tipo],"Compra",tOperaciones[Fecha],"&gt;="&amp;F50,tOperaciones[Fecha],"&lt;="&amp;'Configuración'!$C$8)-SUMIFS(tOperaciones[Importe],tOperaciones[Producto],B50,tOperaciones[Tipo],"Venta",tOperaciones[Fecha],"&gt;="&amp;F50,tOperaciones[Fecha],"&lt;="&amp;'Configuración'!$C$8))</f>
        <v/>
      </c>
      <c r="K50" s="14" t="str">
        <f>IF(OR(B50="",COUNT(I50)=0),"",IF(I50=0,0,IF(COUNTIFS(tPrecios[Producto],B50,tPrecios[Fecha],"&lt;="&amp;'Configuración'!$C$8)=0,"",I50*SUMIFS(tPrecios[VL EUR],tPrecios[Producto],B50,tPrecios[Fecha],MAXIFS(tPrecios[Fecha],tPrecios[Producto],B50,tPrecios[Fecha],"&lt;="&amp;'Configuración'!$C$8)))))</f>
        <v/>
      </c>
      <c r="L50" s="14" t="str">
        <f>IF(OR(B50="",COUNT(K50)=0),"",K50-J50+SUMIFS(tOperaciones[Importe],tOperaciones[Producto],B50,tOperaciones[Tipo],"Cobro",tOperaciones[Fecha],"&gt;="&amp;F50,tOperaciones[Fecha],"&lt;="&amp;'Configuración'!$C$8))</f>
        <v/>
      </c>
      <c r="M50" s="45" t="str">
        <f>IF(OR(B50="",COUNT(L50)=0,H50+SUMIFS(tOperaciones[Importe],tOperaciones[Producto],B50,tOperaciones[Tipo],"Compra",tOperaciones[Fecha],"&lt;="&amp;'Configuración'!$C$8)=0),"",L50/(H50+SUMIFS(tOperaciones[Importe],tOperaciones[Producto],B50,tOperaciones[Tipo],"Compra",tOperaciones[Fecha],"&lt;="&amp;'Configuración'!$C$8)))</f>
        <v/>
      </c>
      <c r="N50" s="45" t="str">
        <f>IF(OR(B50="",COUNT(K50)=0,COUNT(tProductos[Valor])&lt;&gt;COUNTA(tProductos[ID]),SUM(tProductos[Valor])=0),"",K50/SUM(tProductos[Valor]))</f>
        <v/>
      </c>
    </row>
    <row r="51" ht="27.75" customHeight="1">
      <c r="A51" s="1"/>
      <c r="B51" s="10"/>
      <c r="C51" s="10"/>
      <c r="D51" s="10"/>
      <c r="E51" s="10"/>
      <c r="F51" s="11"/>
      <c r="G51" s="43"/>
      <c r="H51" s="13"/>
      <c r="I51" s="44" t="str">
        <f>IF(OR(B51="",'Configuración'!$C$8&lt;F51),"",G51+SUMIFS(tOperaciones[Participaciones],tOperaciones[Producto],B51,tOperaciones[Tipo],"Compra",tOperaciones[Fecha],"&gt;="&amp;F51,tOperaciones[Fecha],"&lt;="&amp;'Configuración'!$C$8)-SUMIFS(tOperaciones[Participaciones],tOperaciones[Producto],B51,tOperaciones[Tipo],"Venta",tOperaciones[Fecha],"&gt;="&amp;F51,tOperaciones[Fecha],"&lt;="&amp;'Configuración'!$C$8))</f>
        <v/>
      </c>
      <c r="J51" s="14" t="str">
        <f>IF(OR(B51="",'Configuración'!$C$8&lt;F51),"",H51+SUMIFS(tOperaciones[Importe],tOperaciones[Producto],B51,tOperaciones[Tipo],"Compra",tOperaciones[Fecha],"&gt;="&amp;F51,tOperaciones[Fecha],"&lt;="&amp;'Configuración'!$C$8)-SUMIFS(tOperaciones[Importe],tOperaciones[Producto],B51,tOperaciones[Tipo],"Venta",tOperaciones[Fecha],"&gt;="&amp;F51,tOperaciones[Fecha],"&lt;="&amp;'Configuración'!$C$8))</f>
        <v/>
      </c>
      <c r="K51" s="14" t="str">
        <f>IF(OR(B51="",COUNT(I51)=0),"",IF(I51=0,0,IF(COUNTIFS(tPrecios[Producto],B51,tPrecios[Fecha],"&lt;="&amp;'Configuración'!$C$8)=0,"",I51*SUMIFS(tPrecios[VL EUR],tPrecios[Producto],B51,tPrecios[Fecha],MAXIFS(tPrecios[Fecha],tPrecios[Producto],B51,tPrecios[Fecha],"&lt;="&amp;'Configuración'!$C$8)))))</f>
        <v/>
      </c>
      <c r="L51" s="14" t="str">
        <f>IF(OR(B51="",COUNT(K51)=0),"",K51-J51+SUMIFS(tOperaciones[Importe],tOperaciones[Producto],B51,tOperaciones[Tipo],"Cobro",tOperaciones[Fecha],"&gt;="&amp;F51,tOperaciones[Fecha],"&lt;="&amp;'Configuración'!$C$8))</f>
        <v/>
      </c>
      <c r="M51" s="45" t="str">
        <f>IF(OR(B51="",COUNT(L51)=0,H51+SUMIFS(tOperaciones[Importe],tOperaciones[Producto],B51,tOperaciones[Tipo],"Compra",tOperaciones[Fecha],"&lt;="&amp;'Configuración'!$C$8)=0),"",L51/(H51+SUMIFS(tOperaciones[Importe],tOperaciones[Producto],B51,tOperaciones[Tipo],"Compra",tOperaciones[Fecha],"&lt;="&amp;'Configuración'!$C$8)))</f>
        <v/>
      </c>
      <c r="N51" s="45" t="str">
        <f>IF(OR(B51="",COUNT(K51)=0,COUNT(tProductos[Valor])&lt;&gt;COUNTA(tProductos[ID]),SUM(tProductos[Valor])=0),"",K51/SUM(tProductos[Valor]))</f>
        <v/>
      </c>
    </row>
    <row r="52" ht="27.75" customHeight="1">
      <c r="A52" s="1"/>
      <c r="B52" s="10"/>
      <c r="C52" s="10"/>
      <c r="D52" s="10"/>
      <c r="E52" s="10"/>
      <c r="F52" s="11"/>
      <c r="G52" s="43"/>
      <c r="H52" s="13"/>
      <c r="I52" s="44" t="str">
        <f>IF(OR(B52="",'Configuración'!$C$8&lt;F52),"",G52+SUMIFS(tOperaciones[Participaciones],tOperaciones[Producto],B52,tOperaciones[Tipo],"Compra",tOperaciones[Fecha],"&gt;="&amp;F52,tOperaciones[Fecha],"&lt;="&amp;'Configuración'!$C$8)-SUMIFS(tOperaciones[Participaciones],tOperaciones[Producto],B52,tOperaciones[Tipo],"Venta",tOperaciones[Fecha],"&gt;="&amp;F52,tOperaciones[Fecha],"&lt;="&amp;'Configuración'!$C$8))</f>
        <v/>
      </c>
      <c r="J52" s="14" t="str">
        <f>IF(OR(B52="",'Configuración'!$C$8&lt;F52),"",H52+SUMIFS(tOperaciones[Importe],tOperaciones[Producto],B52,tOperaciones[Tipo],"Compra",tOperaciones[Fecha],"&gt;="&amp;F52,tOperaciones[Fecha],"&lt;="&amp;'Configuración'!$C$8)-SUMIFS(tOperaciones[Importe],tOperaciones[Producto],B52,tOperaciones[Tipo],"Venta",tOperaciones[Fecha],"&gt;="&amp;F52,tOperaciones[Fecha],"&lt;="&amp;'Configuración'!$C$8))</f>
        <v/>
      </c>
      <c r="K52" s="14" t="str">
        <f>IF(OR(B52="",COUNT(I52)=0),"",IF(I52=0,0,IF(COUNTIFS(tPrecios[Producto],B52,tPrecios[Fecha],"&lt;="&amp;'Configuración'!$C$8)=0,"",I52*SUMIFS(tPrecios[VL EUR],tPrecios[Producto],B52,tPrecios[Fecha],MAXIFS(tPrecios[Fecha],tPrecios[Producto],B52,tPrecios[Fecha],"&lt;="&amp;'Configuración'!$C$8)))))</f>
        <v/>
      </c>
      <c r="L52" s="14" t="str">
        <f>IF(OR(B52="",COUNT(K52)=0),"",K52-J52+SUMIFS(tOperaciones[Importe],tOperaciones[Producto],B52,tOperaciones[Tipo],"Cobro",tOperaciones[Fecha],"&gt;="&amp;F52,tOperaciones[Fecha],"&lt;="&amp;'Configuración'!$C$8))</f>
        <v/>
      </c>
      <c r="M52" s="45" t="str">
        <f>IF(OR(B52="",COUNT(L52)=0,H52+SUMIFS(tOperaciones[Importe],tOperaciones[Producto],B52,tOperaciones[Tipo],"Compra",tOperaciones[Fecha],"&lt;="&amp;'Configuración'!$C$8)=0),"",L52/(H52+SUMIFS(tOperaciones[Importe],tOperaciones[Producto],B52,tOperaciones[Tipo],"Compra",tOperaciones[Fecha],"&lt;="&amp;'Configuración'!$C$8)))</f>
        <v/>
      </c>
      <c r="N52" s="45" t="str">
        <f>IF(OR(B52="",COUNT(K52)=0,COUNT(tProductos[Valor])&lt;&gt;COUNTA(tProductos[ID]),SUM(tProductos[Valor])=0),"",K52/SUM(tProductos[Valor]))</f>
        <v/>
      </c>
    </row>
    <row r="53" ht="27.75" customHeight="1">
      <c r="A53" s="1"/>
      <c r="B53" s="10"/>
      <c r="C53" s="10"/>
      <c r="D53" s="10"/>
      <c r="E53" s="10"/>
      <c r="F53" s="11"/>
      <c r="G53" s="43"/>
      <c r="H53" s="13"/>
      <c r="I53" s="44" t="str">
        <f>IF(OR(B53="",'Configuración'!$C$8&lt;F53),"",G53+SUMIFS(tOperaciones[Participaciones],tOperaciones[Producto],B53,tOperaciones[Tipo],"Compra",tOperaciones[Fecha],"&gt;="&amp;F53,tOperaciones[Fecha],"&lt;="&amp;'Configuración'!$C$8)-SUMIFS(tOperaciones[Participaciones],tOperaciones[Producto],B53,tOperaciones[Tipo],"Venta",tOperaciones[Fecha],"&gt;="&amp;F53,tOperaciones[Fecha],"&lt;="&amp;'Configuración'!$C$8))</f>
        <v/>
      </c>
      <c r="J53" s="14" t="str">
        <f>IF(OR(B53="",'Configuración'!$C$8&lt;F53),"",H53+SUMIFS(tOperaciones[Importe],tOperaciones[Producto],B53,tOperaciones[Tipo],"Compra",tOperaciones[Fecha],"&gt;="&amp;F53,tOperaciones[Fecha],"&lt;="&amp;'Configuración'!$C$8)-SUMIFS(tOperaciones[Importe],tOperaciones[Producto],B53,tOperaciones[Tipo],"Venta",tOperaciones[Fecha],"&gt;="&amp;F53,tOperaciones[Fecha],"&lt;="&amp;'Configuración'!$C$8))</f>
        <v/>
      </c>
      <c r="K53" s="14" t="str">
        <f>IF(OR(B53="",COUNT(I53)=0),"",IF(I53=0,0,IF(COUNTIFS(tPrecios[Producto],B53,tPrecios[Fecha],"&lt;="&amp;'Configuración'!$C$8)=0,"",I53*SUMIFS(tPrecios[VL EUR],tPrecios[Producto],B53,tPrecios[Fecha],MAXIFS(tPrecios[Fecha],tPrecios[Producto],B53,tPrecios[Fecha],"&lt;="&amp;'Configuración'!$C$8)))))</f>
        <v/>
      </c>
      <c r="L53" s="14" t="str">
        <f>IF(OR(B53="",COUNT(K53)=0),"",K53-J53+SUMIFS(tOperaciones[Importe],tOperaciones[Producto],B53,tOperaciones[Tipo],"Cobro",tOperaciones[Fecha],"&gt;="&amp;F53,tOperaciones[Fecha],"&lt;="&amp;'Configuración'!$C$8))</f>
        <v/>
      </c>
      <c r="M53" s="45" t="str">
        <f>IF(OR(B53="",COUNT(L53)=0,H53+SUMIFS(tOperaciones[Importe],tOperaciones[Producto],B53,tOperaciones[Tipo],"Compra",tOperaciones[Fecha],"&lt;="&amp;'Configuración'!$C$8)=0),"",L53/(H53+SUMIFS(tOperaciones[Importe],tOperaciones[Producto],B53,tOperaciones[Tipo],"Compra",tOperaciones[Fecha],"&lt;="&amp;'Configuración'!$C$8)))</f>
        <v/>
      </c>
      <c r="N53" s="45" t="str">
        <f>IF(OR(B53="",COUNT(K53)=0,COUNT(tProductos[Valor])&lt;&gt;COUNTA(tProductos[ID]),SUM(tProductos[Valor])=0),"",K53/SUM(tProductos[Valor]))</f>
        <v/>
      </c>
    </row>
    <row r="54" ht="27.75" customHeight="1">
      <c r="A54" s="1"/>
      <c r="B54" s="10"/>
      <c r="C54" s="10"/>
      <c r="D54" s="10"/>
      <c r="E54" s="10"/>
      <c r="F54" s="11"/>
      <c r="G54" s="43"/>
      <c r="H54" s="13"/>
      <c r="I54" s="44" t="str">
        <f>IF(OR(B54="",'Configuración'!$C$8&lt;F54),"",G54+SUMIFS(tOperaciones[Participaciones],tOperaciones[Producto],B54,tOperaciones[Tipo],"Compra",tOperaciones[Fecha],"&gt;="&amp;F54,tOperaciones[Fecha],"&lt;="&amp;'Configuración'!$C$8)-SUMIFS(tOperaciones[Participaciones],tOperaciones[Producto],B54,tOperaciones[Tipo],"Venta",tOperaciones[Fecha],"&gt;="&amp;F54,tOperaciones[Fecha],"&lt;="&amp;'Configuración'!$C$8))</f>
        <v/>
      </c>
      <c r="J54" s="14" t="str">
        <f>IF(OR(B54="",'Configuración'!$C$8&lt;F54),"",H54+SUMIFS(tOperaciones[Importe],tOperaciones[Producto],B54,tOperaciones[Tipo],"Compra",tOperaciones[Fecha],"&gt;="&amp;F54,tOperaciones[Fecha],"&lt;="&amp;'Configuración'!$C$8)-SUMIFS(tOperaciones[Importe],tOperaciones[Producto],B54,tOperaciones[Tipo],"Venta",tOperaciones[Fecha],"&gt;="&amp;F54,tOperaciones[Fecha],"&lt;="&amp;'Configuración'!$C$8))</f>
        <v/>
      </c>
      <c r="K54" s="14" t="str">
        <f>IF(OR(B54="",COUNT(I54)=0),"",IF(I54=0,0,IF(COUNTIFS(tPrecios[Producto],B54,tPrecios[Fecha],"&lt;="&amp;'Configuración'!$C$8)=0,"",I54*SUMIFS(tPrecios[VL EUR],tPrecios[Producto],B54,tPrecios[Fecha],MAXIFS(tPrecios[Fecha],tPrecios[Producto],B54,tPrecios[Fecha],"&lt;="&amp;'Configuración'!$C$8)))))</f>
        <v/>
      </c>
      <c r="L54" s="14" t="str">
        <f>IF(OR(B54="",COUNT(K54)=0),"",K54-J54+SUMIFS(tOperaciones[Importe],tOperaciones[Producto],B54,tOperaciones[Tipo],"Cobro",tOperaciones[Fecha],"&gt;="&amp;F54,tOperaciones[Fecha],"&lt;="&amp;'Configuración'!$C$8))</f>
        <v/>
      </c>
      <c r="M54" s="45" t="str">
        <f>IF(OR(B54="",COUNT(L54)=0,H54+SUMIFS(tOperaciones[Importe],tOperaciones[Producto],B54,tOperaciones[Tipo],"Compra",tOperaciones[Fecha],"&lt;="&amp;'Configuración'!$C$8)=0),"",L54/(H54+SUMIFS(tOperaciones[Importe],tOperaciones[Producto],B54,tOperaciones[Tipo],"Compra",tOperaciones[Fecha],"&lt;="&amp;'Configuración'!$C$8)))</f>
        <v/>
      </c>
      <c r="N54" s="45" t="str">
        <f>IF(OR(B54="",COUNT(K54)=0,COUNT(tProductos[Valor])&lt;&gt;COUNTA(tProductos[ID]),SUM(tProductos[Valor])=0),"",K54/SUM(tProductos[Valor]))</f>
        <v/>
      </c>
    </row>
    <row r="55" ht="27.75" customHeight="1">
      <c r="A55" s="1"/>
      <c r="B55" s="10"/>
      <c r="C55" s="10"/>
      <c r="D55" s="10"/>
      <c r="E55" s="10"/>
      <c r="F55" s="11"/>
      <c r="G55" s="43"/>
      <c r="H55" s="13"/>
      <c r="I55" s="44" t="str">
        <f>IF(OR(B55="",'Configuración'!$C$8&lt;F55),"",G55+SUMIFS(tOperaciones[Participaciones],tOperaciones[Producto],B55,tOperaciones[Tipo],"Compra",tOperaciones[Fecha],"&gt;="&amp;F55,tOperaciones[Fecha],"&lt;="&amp;'Configuración'!$C$8)-SUMIFS(tOperaciones[Participaciones],tOperaciones[Producto],B55,tOperaciones[Tipo],"Venta",tOperaciones[Fecha],"&gt;="&amp;F55,tOperaciones[Fecha],"&lt;="&amp;'Configuración'!$C$8))</f>
        <v/>
      </c>
      <c r="J55" s="14" t="str">
        <f>IF(OR(B55="",'Configuración'!$C$8&lt;F55),"",H55+SUMIFS(tOperaciones[Importe],tOperaciones[Producto],B55,tOperaciones[Tipo],"Compra",tOperaciones[Fecha],"&gt;="&amp;F55,tOperaciones[Fecha],"&lt;="&amp;'Configuración'!$C$8)-SUMIFS(tOperaciones[Importe],tOperaciones[Producto],B55,tOperaciones[Tipo],"Venta",tOperaciones[Fecha],"&gt;="&amp;F55,tOperaciones[Fecha],"&lt;="&amp;'Configuración'!$C$8))</f>
        <v/>
      </c>
      <c r="K55" s="14" t="str">
        <f>IF(OR(B55="",COUNT(I55)=0),"",IF(I55=0,0,IF(COUNTIFS(tPrecios[Producto],B55,tPrecios[Fecha],"&lt;="&amp;'Configuración'!$C$8)=0,"",I55*SUMIFS(tPrecios[VL EUR],tPrecios[Producto],B55,tPrecios[Fecha],MAXIFS(tPrecios[Fecha],tPrecios[Producto],B55,tPrecios[Fecha],"&lt;="&amp;'Configuración'!$C$8)))))</f>
        <v/>
      </c>
      <c r="L55" s="14" t="str">
        <f>IF(OR(B55="",COUNT(K55)=0),"",K55-J55+SUMIFS(tOperaciones[Importe],tOperaciones[Producto],B55,tOperaciones[Tipo],"Cobro",tOperaciones[Fecha],"&gt;="&amp;F55,tOperaciones[Fecha],"&lt;="&amp;'Configuración'!$C$8))</f>
        <v/>
      </c>
      <c r="M55" s="45" t="str">
        <f>IF(OR(B55="",COUNT(L55)=0,H55+SUMIFS(tOperaciones[Importe],tOperaciones[Producto],B55,tOperaciones[Tipo],"Compra",tOperaciones[Fecha],"&lt;="&amp;'Configuración'!$C$8)=0),"",L55/(H55+SUMIFS(tOperaciones[Importe],tOperaciones[Producto],B55,tOperaciones[Tipo],"Compra",tOperaciones[Fecha],"&lt;="&amp;'Configuración'!$C$8)))</f>
        <v/>
      </c>
      <c r="N55" s="45" t="str">
        <f>IF(OR(B55="",COUNT(K55)=0,COUNT(tProductos[Valor])&lt;&gt;COUNTA(tProductos[ID]),SUM(tProductos[Valor])=0),"",K55/SUM(tProductos[Valor]))</f>
        <v/>
      </c>
    </row>
    <row r="56" ht="27.75" customHeight="1">
      <c r="A56" s="1"/>
      <c r="B56" s="10"/>
      <c r="C56" s="10"/>
      <c r="D56" s="10"/>
      <c r="E56" s="10"/>
      <c r="F56" s="11"/>
      <c r="G56" s="43"/>
      <c r="H56" s="13"/>
      <c r="I56" s="44" t="str">
        <f>IF(OR(B56="",'Configuración'!$C$8&lt;F56),"",G56+SUMIFS(tOperaciones[Participaciones],tOperaciones[Producto],B56,tOperaciones[Tipo],"Compra",tOperaciones[Fecha],"&gt;="&amp;F56,tOperaciones[Fecha],"&lt;="&amp;'Configuración'!$C$8)-SUMIFS(tOperaciones[Participaciones],tOperaciones[Producto],B56,tOperaciones[Tipo],"Venta",tOperaciones[Fecha],"&gt;="&amp;F56,tOperaciones[Fecha],"&lt;="&amp;'Configuración'!$C$8))</f>
        <v/>
      </c>
      <c r="J56" s="14" t="str">
        <f>IF(OR(B56="",'Configuración'!$C$8&lt;F56),"",H56+SUMIFS(tOperaciones[Importe],tOperaciones[Producto],B56,tOperaciones[Tipo],"Compra",tOperaciones[Fecha],"&gt;="&amp;F56,tOperaciones[Fecha],"&lt;="&amp;'Configuración'!$C$8)-SUMIFS(tOperaciones[Importe],tOperaciones[Producto],B56,tOperaciones[Tipo],"Venta",tOperaciones[Fecha],"&gt;="&amp;F56,tOperaciones[Fecha],"&lt;="&amp;'Configuración'!$C$8))</f>
        <v/>
      </c>
      <c r="K56" s="14" t="str">
        <f>IF(OR(B56="",COUNT(I56)=0),"",IF(I56=0,0,IF(COUNTIFS(tPrecios[Producto],B56,tPrecios[Fecha],"&lt;="&amp;'Configuración'!$C$8)=0,"",I56*SUMIFS(tPrecios[VL EUR],tPrecios[Producto],B56,tPrecios[Fecha],MAXIFS(tPrecios[Fecha],tPrecios[Producto],B56,tPrecios[Fecha],"&lt;="&amp;'Configuración'!$C$8)))))</f>
        <v/>
      </c>
      <c r="L56" s="14" t="str">
        <f>IF(OR(B56="",COUNT(K56)=0),"",K56-J56+SUMIFS(tOperaciones[Importe],tOperaciones[Producto],B56,tOperaciones[Tipo],"Cobro",tOperaciones[Fecha],"&gt;="&amp;F56,tOperaciones[Fecha],"&lt;="&amp;'Configuración'!$C$8))</f>
        <v/>
      </c>
      <c r="M56" s="45" t="str">
        <f>IF(OR(B56="",COUNT(L56)=0,H56+SUMIFS(tOperaciones[Importe],tOperaciones[Producto],B56,tOperaciones[Tipo],"Compra",tOperaciones[Fecha],"&lt;="&amp;'Configuración'!$C$8)=0),"",L56/(H56+SUMIFS(tOperaciones[Importe],tOperaciones[Producto],B56,tOperaciones[Tipo],"Compra",tOperaciones[Fecha],"&lt;="&amp;'Configuración'!$C$8)))</f>
        <v/>
      </c>
      <c r="N56" s="45" t="str">
        <f>IF(OR(B56="",COUNT(K56)=0,COUNT(tProductos[Valor])&lt;&gt;COUNTA(tProductos[ID]),SUM(tProductos[Valor])=0),"",K56/SUM(tProductos[Valor]))</f>
        <v/>
      </c>
    </row>
    <row r="57" ht="27.75" customHeight="1">
      <c r="A57" s="1"/>
      <c r="B57" s="10"/>
      <c r="C57" s="10"/>
      <c r="D57" s="10"/>
      <c r="E57" s="10"/>
      <c r="F57" s="11"/>
      <c r="G57" s="43"/>
      <c r="H57" s="13"/>
      <c r="I57" s="44" t="str">
        <f>IF(OR(B57="",'Configuración'!$C$8&lt;F57),"",G57+SUMIFS(tOperaciones[Participaciones],tOperaciones[Producto],B57,tOperaciones[Tipo],"Compra",tOperaciones[Fecha],"&gt;="&amp;F57,tOperaciones[Fecha],"&lt;="&amp;'Configuración'!$C$8)-SUMIFS(tOperaciones[Participaciones],tOperaciones[Producto],B57,tOperaciones[Tipo],"Venta",tOperaciones[Fecha],"&gt;="&amp;F57,tOperaciones[Fecha],"&lt;="&amp;'Configuración'!$C$8))</f>
        <v/>
      </c>
      <c r="J57" s="14" t="str">
        <f>IF(OR(B57="",'Configuración'!$C$8&lt;F57),"",H57+SUMIFS(tOperaciones[Importe],tOperaciones[Producto],B57,tOperaciones[Tipo],"Compra",tOperaciones[Fecha],"&gt;="&amp;F57,tOperaciones[Fecha],"&lt;="&amp;'Configuración'!$C$8)-SUMIFS(tOperaciones[Importe],tOperaciones[Producto],B57,tOperaciones[Tipo],"Venta",tOperaciones[Fecha],"&gt;="&amp;F57,tOperaciones[Fecha],"&lt;="&amp;'Configuración'!$C$8))</f>
        <v/>
      </c>
      <c r="K57" s="14" t="str">
        <f>IF(OR(B57="",COUNT(I57)=0),"",IF(I57=0,0,IF(COUNTIFS(tPrecios[Producto],B57,tPrecios[Fecha],"&lt;="&amp;'Configuración'!$C$8)=0,"",I57*SUMIFS(tPrecios[VL EUR],tPrecios[Producto],B57,tPrecios[Fecha],MAXIFS(tPrecios[Fecha],tPrecios[Producto],B57,tPrecios[Fecha],"&lt;="&amp;'Configuración'!$C$8)))))</f>
        <v/>
      </c>
      <c r="L57" s="14" t="str">
        <f>IF(OR(B57="",COUNT(K57)=0),"",K57-J57+SUMIFS(tOperaciones[Importe],tOperaciones[Producto],B57,tOperaciones[Tipo],"Cobro",tOperaciones[Fecha],"&gt;="&amp;F57,tOperaciones[Fecha],"&lt;="&amp;'Configuración'!$C$8))</f>
        <v/>
      </c>
      <c r="M57" s="45" t="str">
        <f>IF(OR(B57="",COUNT(L57)=0,H57+SUMIFS(tOperaciones[Importe],tOperaciones[Producto],B57,tOperaciones[Tipo],"Compra",tOperaciones[Fecha],"&lt;="&amp;'Configuración'!$C$8)=0),"",L57/(H57+SUMIFS(tOperaciones[Importe],tOperaciones[Producto],B57,tOperaciones[Tipo],"Compra",tOperaciones[Fecha],"&lt;="&amp;'Configuración'!$C$8)))</f>
        <v/>
      </c>
      <c r="N57" s="45" t="str">
        <f>IF(OR(B57="",COUNT(K57)=0,COUNT(tProductos[Valor])&lt;&gt;COUNTA(tProductos[ID]),SUM(tProductos[Valor])=0),"",K57/SUM(tProductos[Valor]))</f>
        <v/>
      </c>
    </row>
    <row r="58" ht="27.75" customHeight="1">
      <c r="A58" s="1"/>
      <c r="B58" s="10"/>
      <c r="C58" s="10"/>
      <c r="D58" s="10"/>
      <c r="E58" s="10"/>
      <c r="F58" s="11"/>
      <c r="G58" s="43"/>
      <c r="H58" s="13"/>
      <c r="I58" s="44" t="str">
        <f>IF(OR(B58="",'Configuración'!$C$8&lt;F58),"",G58+SUMIFS(tOperaciones[Participaciones],tOperaciones[Producto],B58,tOperaciones[Tipo],"Compra",tOperaciones[Fecha],"&gt;="&amp;F58,tOperaciones[Fecha],"&lt;="&amp;'Configuración'!$C$8)-SUMIFS(tOperaciones[Participaciones],tOperaciones[Producto],B58,tOperaciones[Tipo],"Venta",tOperaciones[Fecha],"&gt;="&amp;F58,tOperaciones[Fecha],"&lt;="&amp;'Configuración'!$C$8))</f>
        <v/>
      </c>
      <c r="J58" s="14" t="str">
        <f>IF(OR(B58="",'Configuración'!$C$8&lt;F58),"",H58+SUMIFS(tOperaciones[Importe],tOperaciones[Producto],B58,tOperaciones[Tipo],"Compra",tOperaciones[Fecha],"&gt;="&amp;F58,tOperaciones[Fecha],"&lt;="&amp;'Configuración'!$C$8)-SUMIFS(tOperaciones[Importe],tOperaciones[Producto],B58,tOperaciones[Tipo],"Venta",tOperaciones[Fecha],"&gt;="&amp;F58,tOperaciones[Fecha],"&lt;="&amp;'Configuración'!$C$8))</f>
        <v/>
      </c>
      <c r="K58" s="14" t="str">
        <f>IF(OR(B58="",COUNT(I58)=0),"",IF(I58=0,0,IF(COUNTIFS(tPrecios[Producto],B58,tPrecios[Fecha],"&lt;="&amp;'Configuración'!$C$8)=0,"",I58*SUMIFS(tPrecios[VL EUR],tPrecios[Producto],B58,tPrecios[Fecha],MAXIFS(tPrecios[Fecha],tPrecios[Producto],B58,tPrecios[Fecha],"&lt;="&amp;'Configuración'!$C$8)))))</f>
        <v/>
      </c>
      <c r="L58" s="14" t="str">
        <f>IF(OR(B58="",COUNT(K58)=0),"",K58-J58+SUMIFS(tOperaciones[Importe],tOperaciones[Producto],B58,tOperaciones[Tipo],"Cobro",tOperaciones[Fecha],"&gt;="&amp;F58,tOperaciones[Fecha],"&lt;="&amp;'Configuración'!$C$8))</f>
        <v/>
      </c>
      <c r="M58" s="45" t="str">
        <f>IF(OR(B58="",COUNT(L58)=0,H58+SUMIFS(tOperaciones[Importe],tOperaciones[Producto],B58,tOperaciones[Tipo],"Compra",tOperaciones[Fecha],"&lt;="&amp;'Configuración'!$C$8)=0),"",L58/(H58+SUMIFS(tOperaciones[Importe],tOperaciones[Producto],B58,tOperaciones[Tipo],"Compra",tOperaciones[Fecha],"&lt;="&amp;'Configuración'!$C$8)))</f>
        <v/>
      </c>
      <c r="N58" s="45" t="str">
        <f>IF(OR(B58="",COUNT(K58)=0,COUNT(tProductos[Valor])&lt;&gt;COUNTA(tProductos[ID]),SUM(tProductos[Valor])=0),"",K58/SUM(tProductos[Valor]))</f>
        <v/>
      </c>
    </row>
    <row r="59" ht="27.75" customHeight="1">
      <c r="A59" s="1"/>
      <c r="B59" s="10"/>
      <c r="C59" s="10"/>
      <c r="D59" s="10"/>
      <c r="E59" s="10"/>
      <c r="F59" s="11"/>
      <c r="G59" s="43"/>
      <c r="H59" s="13"/>
      <c r="I59" s="44" t="str">
        <f>IF(OR(B59="",'Configuración'!$C$8&lt;F59),"",G59+SUMIFS(tOperaciones[Participaciones],tOperaciones[Producto],B59,tOperaciones[Tipo],"Compra",tOperaciones[Fecha],"&gt;="&amp;F59,tOperaciones[Fecha],"&lt;="&amp;'Configuración'!$C$8)-SUMIFS(tOperaciones[Participaciones],tOperaciones[Producto],B59,tOperaciones[Tipo],"Venta",tOperaciones[Fecha],"&gt;="&amp;F59,tOperaciones[Fecha],"&lt;="&amp;'Configuración'!$C$8))</f>
        <v/>
      </c>
      <c r="J59" s="14" t="str">
        <f>IF(OR(B59="",'Configuración'!$C$8&lt;F59),"",H59+SUMIFS(tOperaciones[Importe],tOperaciones[Producto],B59,tOperaciones[Tipo],"Compra",tOperaciones[Fecha],"&gt;="&amp;F59,tOperaciones[Fecha],"&lt;="&amp;'Configuración'!$C$8)-SUMIFS(tOperaciones[Importe],tOperaciones[Producto],B59,tOperaciones[Tipo],"Venta",tOperaciones[Fecha],"&gt;="&amp;F59,tOperaciones[Fecha],"&lt;="&amp;'Configuración'!$C$8))</f>
        <v/>
      </c>
      <c r="K59" s="14" t="str">
        <f>IF(OR(B59="",COUNT(I59)=0),"",IF(I59=0,0,IF(COUNTIFS(tPrecios[Producto],B59,tPrecios[Fecha],"&lt;="&amp;'Configuración'!$C$8)=0,"",I59*SUMIFS(tPrecios[VL EUR],tPrecios[Producto],B59,tPrecios[Fecha],MAXIFS(tPrecios[Fecha],tPrecios[Producto],B59,tPrecios[Fecha],"&lt;="&amp;'Configuración'!$C$8)))))</f>
        <v/>
      </c>
      <c r="L59" s="14" t="str">
        <f>IF(OR(B59="",COUNT(K59)=0),"",K59-J59+SUMIFS(tOperaciones[Importe],tOperaciones[Producto],B59,tOperaciones[Tipo],"Cobro",tOperaciones[Fecha],"&gt;="&amp;F59,tOperaciones[Fecha],"&lt;="&amp;'Configuración'!$C$8))</f>
        <v/>
      </c>
      <c r="M59" s="45" t="str">
        <f>IF(OR(B59="",COUNT(L59)=0,H59+SUMIFS(tOperaciones[Importe],tOperaciones[Producto],B59,tOperaciones[Tipo],"Compra",tOperaciones[Fecha],"&lt;="&amp;'Configuración'!$C$8)=0),"",L59/(H59+SUMIFS(tOperaciones[Importe],tOperaciones[Producto],B59,tOperaciones[Tipo],"Compra",tOperaciones[Fecha],"&lt;="&amp;'Configuración'!$C$8)))</f>
        <v/>
      </c>
      <c r="N59" s="45" t="str">
        <f>IF(OR(B59="",COUNT(K59)=0,COUNT(tProductos[Valor])&lt;&gt;COUNTA(tProductos[ID]),SUM(tProductos[Valor])=0),"",K59/SUM(tProductos[Valor]))</f>
        <v/>
      </c>
    </row>
    <row r="60" ht="27.75" customHeight="1">
      <c r="A60" s="1"/>
      <c r="B60" s="10"/>
      <c r="C60" s="10"/>
      <c r="D60" s="10"/>
      <c r="E60" s="10"/>
      <c r="F60" s="11"/>
      <c r="G60" s="43"/>
      <c r="H60" s="13"/>
      <c r="I60" s="44" t="str">
        <f>IF(OR(B60="",'Configuración'!$C$8&lt;F60),"",G60+SUMIFS(tOperaciones[Participaciones],tOperaciones[Producto],B60,tOperaciones[Tipo],"Compra",tOperaciones[Fecha],"&gt;="&amp;F60,tOperaciones[Fecha],"&lt;="&amp;'Configuración'!$C$8)-SUMIFS(tOperaciones[Participaciones],tOperaciones[Producto],B60,tOperaciones[Tipo],"Venta",tOperaciones[Fecha],"&gt;="&amp;F60,tOperaciones[Fecha],"&lt;="&amp;'Configuración'!$C$8))</f>
        <v/>
      </c>
      <c r="J60" s="14" t="str">
        <f>IF(OR(B60="",'Configuración'!$C$8&lt;F60),"",H60+SUMIFS(tOperaciones[Importe],tOperaciones[Producto],B60,tOperaciones[Tipo],"Compra",tOperaciones[Fecha],"&gt;="&amp;F60,tOperaciones[Fecha],"&lt;="&amp;'Configuración'!$C$8)-SUMIFS(tOperaciones[Importe],tOperaciones[Producto],B60,tOperaciones[Tipo],"Venta",tOperaciones[Fecha],"&gt;="&amp;F60,tOperaciones[Fecha],"&lt;="&amp;'Configuración'!$C$8))</f>
        <v/>
      </c>
      <c r="K60" s="14" t="str">
        <f>IF(OR(B60="",COUNT(I60)=0),"",IF(I60=0,0,IF(COUNTIFS(tPrecios[Producto],B60,tPrecios[Fecha],"&lt;="&amp;'Configuración'!$C$8)=0,"",I60*SUMIFS(tPrecios[VL EUR],tPrecios[Producto],B60,tPrecios[Fecha],MAXIFS(tPrecios[Fecha],tPrecios[Producto],B60,tPrecios[Fecha],"&lt;="&amp;'Configuración'!$C$8)))))</f>
        <v/>
      </c>
      <c r="L60" s="14" t="str">
        <f>IF(OR(B60="",COUNT(K60)=0),"",K60-J60+SUMIFS(tOperaciones[Importe],tOperaciones[Producto],B60,tOperaciones[Tipo],"Cobro",tOperaciones[Fecha],"&gt;="&amp;F60,tOperaciones[Fecha],"&lt;="&amp;'Configuración'!$C$8))</f>
        <v/>
      </c>
      <c r="M60" s="45" t="str">
        <f>IF(OR(B60="",COUNT(L60)=0,H60+SUMIFS(tOperaciones[Importe],tOperaciones[Producto],B60,tOperaciones[Tipo],"Compra",tOperaciones[Fecha],"&lt;="&amp;'Configuración'!$C$8)=0),"",L60/(H60+SUMIFS(tOperaciones[Importe],tOperaciones[Producto],B60,tOperaciones[Tipo],"Compra",tOperaciones[Fecha],"&lt;="&amp;'Configuración'!$C$8)))</f>
        <v/>
      </c>
      <c r="N60" s="45" t="str">
        <f>IF(OR(B60="",COUNT(K60)=0,COUNT(tProductos[Valor])&lt;&gt;COUNTA(tProductos[ID]),SUM(tProductos[Valor])=0),"",K60/SUM(tProductos[Valor]))</f>
        <v/>
      </c>
    </row>
    <row r="61" ht="27.75" customHeight="1">
      <c r="A61" s="1"/>
      <c r="B61" s="10"/>
      <c r="C61" s="10"/>
      <c r="D61" s="10"/>
      <c r="E61" s="10"/>
      <c r="F61" s="11"/>
      <c r="G61" s="43"/>
      <c r="H61" s="13"/>
      <c r="I61" s="44" t="str">
        <f>IF(OR(B61="",'Configuración'!$C$8&lt;F61),"",G61+SUMIFS(tOperaciones[Participaciones],tOperaciones[Producto],B61,tOperaciones[Tipo],"Compra",tOperaciones[Fecha],"&gt;="&amp;F61,tOperaciones[Fecha],"&lt;="&amp;'Configuración'!$C$8)-SUMIFS(tOperaciones[Participaciones],tOperaciones[Producto],B61,tOperaciones[Tipo],"Venta",tOperaciones[Fecha],"&gt;="&amp;F61,tOperaciones[Fecha],"&lt;="&amp;'Configuración'!$C$8))</f>
        <v/>
      </c>
      <c r="J61" s="14" t="str">
        <f>IF(OR(B61="",'Configuración'!$C$8&lt;F61),"",H61+SUMIFS(tOperaciones[Importe],tOperaciones[Producto],B61,tOperaciones[Tipo],"Compra",tOperaciones[Fecha],"&gt;="&amp;F61,tOperaciones[Fecha],"&lt;="&amp;'Configuración'!$C$8)-SUMIFS(tOperaciones[Importe],tOperaciones[Producto],B61,tOperaciones[Tipo],"Venta",tOperaciones[Fecha],"&gt;="&amp;F61,tOperaciones[Fecha],"&lt;="&amp;'Configuración'!$C$8))</f>
        <v/>
      </c>
      <c r="K61" s="14" t="str">
        <f>IF(OR(B61="",COUNT(I61)=0),"",IF(I61=0,0,IF(COUNTIFS(tPrecios[Producto],B61,tPrecios[Fecha],"&lt;="&amp;'Configuración'!$C$8)=0,"",I61*SUMIFS(tPrecios[VL EUR],tPrecios[Producto],B61,tPrecios[Fecha],MAXIFS(tPrecios[Fecha],tPrecios[Producto],B61,tPrecios[Fecha],"&lt;="&amp;'Configuración'!$C$8)))))</f>
        <v/>
      </c>
      <c r="L61" s="14" t="str">
        <f>IF(OR(B61="",COUNT(K61)=0),"",K61-J61+SUMIFS(tOperaciones[Importe],tOperaciones[Producto],B61,tOperaciones[Tipo],"Cobro",tOperaciones[Fecha],"&gt;="&amp;F61,tOperaciones[Fecha],"&lt;="&amp;'Configuración'!$C$8))</f>
        <v/>
      </c>
      <c r="M61" s="45" t="str">
        <f>IF(OR(B61="",COUNT(L61)=0,H61+SUMIFS(tOperaciones[Importe],tOperaciones[Producto],B61,tOperaciones[Tipo],"Compra",tOperaciones[Fecha],"&lt;="&amp;'Configuración'!$C$8)=0),"",L61/(H61+SUMIFS(tOperaciones[Importe],tOperaciones[Producto],B61,tOperaciones[Tipo],"Compra",tOperaciones[Fecha],"&lt;="&amp;'Configuración'!$C$8)))</f>
        <v/>
      </c>
      <c r="N61" s="45" t="str">
        <f>IF(OR(B61="",COUNT(K61)=0,COUNT(tProductos[Valor])&lt;&gt;COUNTA(tProductos[ID]),SUM(tProductos[Valor])=0),"",K61/SUM(tProductos[Valor]))</f>
        <v/>
      </c>
    </row>
    <row r="62" ht="27.75" customHeight="1">
      <c r="A62" s="1"/>
      <c r="B62" s="10"/>
      <c r="C62" s="10"/>
      <c r="D62" s="10"/>
      <c r="E62" s="10"/>
      <c r="F62" s="11"/>
      <c r="G62" s="43"/>
      <c r="H62" s="13"/>
      <c r="I62" s="44" t="str">
        <f>IF(OR(B62="",'Configuración'!$C$8&lt;F62),"",G62+SUMIFS(tOperaciones[Participaciones],tOperaciones[Producto],B62,tOperaciones[Tipo],"Compra",tOperaciones[Fecha],"&gt;="&amp;F62,tOperaciones[Fecha],"&lt;="&amp;'Configuración'!$C$8)-SUMIFS(tOperaciones[Participaciones],tOperaciones[Producto],B62,tOperaciones[Tipo],"Venta",tOperaciones[Fecha],"&gt;="&amp;F62,tOperaciones[Fecha],"&lt;="&amp;'Configuración'!$C$8))</f>
        <v/>
      </c>
      <c r="J62" s="14" t="str">
        <f>IF(OR(B62="",'Configuración'!$C$8&lt;F62),"",H62+SUMIFS(tOperaciones[Importe],tOperaciones[Producto],B62,tOperaciones[Tipo],"Compra",tOperaciones[Fecha],"&gt;="&amp;F62,tOperaciones[Fecha],"&lt;="&amp;'Configuración'!$C$8)-SUMIFS(tOperaciones[Importe],tOperaciones[Producto],B62,tOperaciones[Tipo],"Venta",tOperaciones[Fecha],"&gt;="&amp;F62,tOperaciones[Fecha],"&lt;="&amp;'Configuración'!$C$8))</f>
        <v/>
      </c>
      <c r="K62" s="14" t="str">
        <f>IF(OR(B62="",COUNT(I62)=0),"",IF(I62=0,0,IF(COUNTIFS(tPrecios[Producto],B62,tPrecios[Fecha],"&lt;="&amp;'Configuración'!$C$8)=0,"",I62*SUMIFS(tPrecios[VL EUR],tPrecios[Producto],B62,tPrecios[Fecha],MAXIFS(tPrecios[Fecha],tPrecios[Producto],B62,tPrecios[Fecha],"&lt;="&amp;'Configuración'!$C$8)))))</f>
        <v/>
      </c>
      <c r="L62" s="14" t="str">
        <f>IF(OR(B62="",COUNT(K62)=0),"",K62-J62+SUMIFS(tOperaciones[Importe],tOperaciones[Producto],B62,tOperaciones[Tipo],"Cobro",tOperaciones[Fecha],"&gt;="&amp;F62,tOperaciones[Fecha],"&lt;="&amp;'Configuración'!$C$8))</f>
        <v/>
      </c>
      <c r="M62" s="45" t="str">
        <f>IF(OR(B62="",COUNT(L62)=0,H62+SUMIFS(tOperaciones[Importe],tOperaciones[Producto],B62,tOperaciones[Tipo],"Compra",tOperaciones[Fecha],"&lt;="&amp;'Configuración'!$C$8)=0),"",L62/(H62+SUMIFS(tOperaciones[Importe],tOperaciones[Producto],B62,tOperaciones[Tipo],"Compra",tOperaciones[Fecha],"&lt;="&amp;'Configuración'!$C$8)))</f>
        <v/>
      </c>
      <c r="N62" s="45" t="str">
        <f>IF(OR(B62="",COUNT(K62)=0,COUNT(tProductos[Valor])&lt;&gt;COUNTA(tProductos[ID]),SUM(tProductos[Valor])=0),"",K62/SUM(tProductos[Valor]))</f>
        <v/>
      </c>
    </row>
    <row r="63" ht="27.75" customHeight="1">
      <c r="A63" s="1"/>
      <c r="B63" s="10"/>
      <c r="C63" s="10"/>
      <c r="D63" s="10"/>
      <c r="E63" s="10"/>
      <c r="F63" s="11"/>
      <c r="G63" s="43"/>
      <c r="H63" s="13"/>
      <c r="I63" s="44" t="str">
        <f>IF(OR(B63="",'Configuración'!$C$8&lt;F63),"",G63+SUMIFS(tOperaciones[Participaciones],tOperaciones[Producto],B63,tOperaciones[Tipo],"Compra",tOperaciones[Fecha],"&gt;="&amp;F63,tOperaciones[Fecha],"&lt;="&amp;'Configuración'!$C$8)-SUMIFS(tOperaciones[Participaciones],tOperaciones[Producto],B63,tOperaciones[Tipo],"Venta",tOperaciones[Fecha],"&gt;="&amp;F63,tOperaciones[Fecha],"&lt;="&amp;'Configuración'!$C$8))</f>
        <v/>
      </c>
      <c r="J63" s="14" t="str">
        <f>IF(OR(B63="",'Configuración'!$C$8&lt;F63),"",H63+SUMIFS(tOperaciones[Importe],tOperaciones[Producto],B63,tOperaciones[Tipo],"Compra",tOperaciones[Fecha],"&gt;="&amp;F63,tOperaciones[Fecha],"&lt;="&amp;'Configuración'!$C$8)-SUMIFS(tOperaciones[Importe],tOperaciones[Producto],B63,tOperaciones[Tipo],"Venta",tOperaciones[Fecha],"&gt;="&amp;F63,tOperaciones[Fecha],"&lt;="&amp;'Configuración'!$C$8))</f>
        <v/>
      </c>
      <c r="K63" s="14" t="str">
        <f>IF(OR(B63="",COUNT(I63)=0),"",IF(I63=0,0,IF(COUNTIFS(tPrecios[Producto],B63,tPrecios[Fecha],"&lt;="&amp;'Configuración'!$C$8)=0,"",I63*SUMIFS(tPrecios[VL EUR],tPrecios[Producto],B63,tPrecios[Fecha],MAXIFS(tPrecios[Fecha],tPrecios[Producto],B63,tPrecios[Fecha],"&lt;="&amp;'Configuración'!$C$8)))))</f>
        <v/>
      </c>
      <c r="L63" s="14" t="str">
        <f>IF(OR(B63="",COUNT(K63)=0),"",K63-J63+SUMIFS(tOperaciones[Importe],tOperaciones[Producto],B63,tOperaciones[Tipo],"Cobro",tOperaciones[Fecha],"&gt;="&amp;F63,tOperaciones[Fecha],"&lt;="&amp;'Configuración'!$C$8))</f>
        <v/>
      </c>
      <c r="M63" s="45" t="str">
        <f>IF(OR(B63="",COUNT(L63)=0,H63+SUMIFS(tOperaciones[Importe],tOperaciones[Producto],B63,tOperaciones[Tipo],"Compra",tOperaciones[Fecha],"&lt;="&amp;'Configuración'!$C$8)=0),"",L63/(H63+SUMIFS(tOperaciones[Importe],tOperaciones[Producto],B63,tOperaciones[Tipo],"Compra",tOperaciones[Fecha],"&lt;="&amp;'Configuración'!$C$8)))</f>
        <v/>
      </c>
      <c r="N63" s="45" t="str">
        <f>IF(OR(B63="",COUNT(K63)=0,COUNT(tProductos[Valor])&lt;&gt;COUNTA(tProductos[ID]),SUM(tProductos[Valor])=0),"",K63/SUM(tProductos[Valor]))</f>
        <v/>
      </c>
    </row>
    <row r="64" ht="27.75" customHeight="1">
      <c r="A64" s="1"/>
      <c r="B64" s="10"/>
      <c r="C64" s="10"/>
      <c r="D64" s="10"/>
      <c r="E64" s="10"/>
      <c r="F64" s="11"/>
      <c r="G64" s="43"/>
      <c r="H64" s="13"/>
      <c r="I64" s="44" t="str">
        <f>IF(OR(B64="",'Configuración'!$C$8&lt;F64),"",G64+SUMIFS(tOperaciones[Participaciones],tOperaciones[Producto],B64,tOperaciones[Tipo],"Compra",tOperaciones[Fecha],"&gt;="&amp;F64,tOperaciones[Fecha],"&lt;="&amp;'Configuración'!$C$8)-SUMIFS(tOperaciones[Participaciones],tOperaciones[Producto],B64,tOperaciones[Tipo],"Venta",tOperaciones[Fecha],"&gt;="&amp;F64,tOperaciones[Fecha],"&lt;="&amp;'Configuración'!$C$8))</f>
        <v/>
      </c>
      <c r="J64" s="14" t="str">
        <f>IF(OR(B64="",'Configuración'!$C$8&lt;F64),"",H64+SUMIFS(tOperaciones[Importe],tOperaciones[Producto],B64,tOperaciones[Tipo],"Compra",tOperaciones[Fecha],"&gt;="&amp;F64,tOperaciones[Fecha],"&lt;="&amp;'Configuración'!$C$8)-SUMIFS(tOperaciones[Importe],tOperaciones[Producto],B64,tOperaciones[Tipo],"Venta",tOperaciones[Fecha],"&gt;="&amp;F64,tOperaciones[Fecha],"&lt;="&amp;'Configuración'!$C$8))</f>
        <v/>
      </c>
      <c r="K64" s="14" t="str">
        <f>IF(OR(B64="",COUNT(I64)=0),"",IF(I64=0,0,IF(COUNTIFS(tPrecios[Producto],B64,tPrecios[Fecha],"&lt;="&amp;'Configuración'!$C$8)=0,"",I64*SUMIFS(tPrecios[VL EUR],tPrecios[Producto],B64,tPrecios[Fecha],MAXIFS(tPrecios[Fecha],tPrecios[Producto],B64,tPrecios[Fecha],"&lt;="&amp;'Configuración'!$C$8)))))</f>
        <v/>
      </c>
      <c r="L64" s="14" t="str">
        <f>IF(OR(B64="",COUNT(K64)=0),"",K64-J64+SUMIFS(tOperaciones[Importe],tOperaciones[Producto],B64,tOperaciones[Tipo],"Cobro",tOperaciones[Fecha],"&gt;="&amp;F64,tOperaciones[Fecha],"&lt;="&amp;'Configuración'!$C$8))</f>
        <v/>
      </c>
      <c r="M64" s="45" t="str">
        <f>IF(OR(B64="",COUNT(L64)=0,H64+SUMIFS(tOperaciones[Importe],tOperaciones[Producto],B64,tOperaciones[Tipo],"Compra",tOperaciones[Fecha],"&lt;="&amp;'Configuración'!$C$8)=0),"",L64/(H64+SUMIFS(tOperaciones[Importe],tOperaciones[Producto],B64,tOperaciones[Tipo],"Compra",tOperaciones[Fecha],"&lt;="&amp;'Configuración'!$C$8)))</f>
        <v/>
      </c>
      <c r="N64" s="45" t="str">
        <f>IF(OR(B64="",COUNT(K64)=0,COUNT(tProductos[Valor])&lt;&gt;COUNTA(tProductos[ID]),SUM(tProductos[Valor])=0),"",K64/SUM(tProductos[Valor]))</f>
        <v/>
      </c>
    </row>
    <row r="65" ht="27.75" customHeight="1">
      <c r="A65" s="1"/>
      <c r="B65" s="10"/>
      <c r="C65" s="10"/>
      <c r="D65" s="10"/>
      <c r="E65" s="10"/>
      <c r="F65" s="11"/>
      <c r="G65" s="43"/>
      <c r="H65" s="13"/>
      <c r="I65" s="44" t="str">
        <f>IF(OR(B65="",'Configuración'!$C$8&lt;F65),"",G65+SUMIFS(tOperaciones[Participaciones],tOperaciones[Producto],B65,tOperaciones[Tipo],"Compra",tOperaciones[Fecha],"&gt;="&amp;F65,tOperaciones[Fecha],"&lt;="&amp;'Configuración'!$C$8)-SUMIFS(tOperaciones[Participaciones],tOperaciones[Producto],B65,tOperaciones[Tipo],"Venta",tOperaciones[Fecha],"&gt;="&amp;F65,tOperaciones[Fecha],"&lt;="&amp;'Configuración'!$C$8))</f>
        <v/>
      </c>
      <c r="J65" s="14" t="str">
        <f>IF(OR(B65="",'Configuración'!$C$8&lt;F65),"",H65+SUMIFS(tOperaciones[Importe],tOperaciones[Producto],B65,tOperaciones[Tipo],"Compra",tOperaciones[Fecha],"&gt;="&amp;F65,tOperaciones[Fecha],"&lt;="&amp;'Configuración'!$C$8)-SUMIFS(tOperaciones[Importe],tOperaciones[Producto],B65,tOperaciones[Tipo],"Venta",tOperaciones[Fecha],"&gt;="&amp;F65,tOperaciones[Fecha],"&lt;="&amp;'Configuración'!$C$8))</f>
        <v/>
      </c>
      <c r="K65" s="14" t="str">
        <f>IF(OR(B65="",COUNT(I65)=0),"",IF(I65=0,0,IF(COUNTIFS(tPrecios[Producto],B65,tPrecios[Fecha],"&lt;="&amp;'Configuración'!$C$8)=0,"",I65*SUMIFS(tPrecios[VL EUR],tPrecios[Producto],B65,tPrecios[Fecha],MAXIFS(tPrecios[Fecha],tPrecios[Producto],B65,tPrecios[Fecha],"&lt;="&amp;'Configuración'!$C$8)))))</f>
        <v/>
      </c>
      <c r="L65" s="14" t="str">
        <f>IF(OR(B65="",COUNT(K65)=0),"",K65-J65+SUMIFS(tOperaciones[Importe],tOperaciones[Producto],B65,tOperaciones[Tipo],"Cobro",tOperaciones[Fecha],"&gt;="&amp;F65,tOperaciones[Fecha],"&lt;="&amp;'Configuración'!$C$8))</f>
        <v/>
      </c>
      <c r="M65" s="45" t="str">
        <f>IF(OR(B65="",COUNT(L65)=0,H65+SUMIFS(tOperaciones[Importe],tOperaciones[Producto],B65,tOperaciones[Tipo],"Compra",tOperaciones[Fecha],"&lt;="&amp;'Configuración'!$C$8)=0),"",L65/(H65+SUMIFS(tOperaciones[Importe],tOperaciones[Producto],B65,tOperaciones[Tipo],"Compra",tOperaciones[Fecha],"&lt;="&amp;'Configuración'!$C$8)))</f>
        <v/>
      </c>
      <c r="N65" s="45" t="str">
        <f>IF(OR(B65="",COUNT(K65)=0,COUNT(tProductos[Valor])&lt;&gt;COUNTA(tProductos[ID]),SUM(tProductos[Valor])=0),"",K65/SUM(tProductos[Valor]))</f>
        <v/>
      </c>
    </row>
    <row r="66" ht="27.75" customHeight="1">
      <c r="A66" s="1"/>
      <c r="B66" s="10"/>
      <c r="C66" s="10"/>
      <c r="D66" s="10"/>
      <c r="E66" s="10"/>
      <c r="F66" s="11"/>
      <c r="G66" s="43"/>
      <c r="H66" s="13"/>
      <c r="I66" s="44" t="str">
        <f>IF(OR(B66="",'Configuración'!$C$8&lt;F66),"",G66+SUMIFS(tOperaciones[Participaciones],tOperaciones[Producto],B66,tOperaciones[Tipo],"Compra",tOperaciones[Fecha],"&gt;="&amp;F66,tOperaciones[Fecha],"&lt;="&amp;'Configuración'!$C$8)-SUMIFS(tOperaciones[Participaciones],tOperaciones[Producto],B66,tOperaciones[Tipo],"Venta",tOperaciones[Fecha],"&gt;="&amp;F66,tOperaciones[Fecha],"&lt;="&amp;'Configuración'!$C$8))</f>
        <v/>
      </c>
      <c r="J66" s="14" t="str">
        <f>IF(OR(B66="",'Configuración'!$C$8&lt;F66),"",H66+SUMIFS(tOperaciones[Importe],tOperaciones[Producto],B66,tOperaciones[Tipo],"Compra",tOperaciones[Fecha],"&gt;="&amp;F66,tOperaciones[Fecha],"&lt;="&amp;'Configuración'!$C$8)-SUMIFS(tOperaciones[Importe],tOperaciones[Producto],B66,tOperaciones[Tipo],"Venta",tOperaciones[Fecha],"&gt;="&amp;F66,tOperaciones[Fecha],"&lt;="&amp;'Configuración'!$C$8))</f>
        <v/>
      </c>
      <c r="K66" s="14" t="str">
        <f>IF(OR(B66="",COUNT(I66)=0),"",IF(I66=0,0,IF(COUNTIFS(tPrecios[Producto],B66,tPrecios[Fecha],"&lt;="&amp;'Configuración'!$C$8)=0,"",I66*SUMIFS(tPrecios[VL EUR],tPrecios[Producto],B66,tPrecios[Fecha],MAXIFS(tPrecios[Fecha],tPrecios[Producto],B66,tPrecios[Fecha],"&lt;="&amp;'Configuración'!$C$8)))))</f>
        <v/>
      </c>
      <c r="L66" s="14" t="str">
        <f>IF(OR(B66="",COUNT(K66)=0),"",K66-J66+SUMIFS(tOperaciones[Importe],tOperaciones[Producto],B66,tOperaciones[Tipo],"Cobro",tOperaciones[Fecha],"&gt;="&amp;F66,tOperaciones[Fecha],"&lt;="&amp;'Configuración'!$C$8))</f>
        <v/>
      </c>
      <c r="M66" s="45" t="str">
        <f>IF(OR(B66="",COUNT(L66)=0,H66+SUMIFS(tOperaciones[Importe],tOperaciones[Producto],B66,tOperaciones[Tipo],"Compra",tOperaciones[Fecha],"&lt;="&amp;'Configuración'!$C$8)=0),"",L66/(H66+SUMIFS(tOperaciones[Importe],tOperaciones[Producto],B66,tOperaciones[Tipo],"Compra",tOperaciones[Fecha],"&lt;="&amp;'Configuración'!$C$8)))</f>
        <v/>
      </c>
      <c r="N66" s="45" t="str">
        <f>IF(OR(B66="",COUNT(K66)=0,COUNT(tProductos[Valor])&lt;&gt;COUNTA(tProductos[ID]),SUM(tProductos[Valor])=0),"",K66/SUM(tProductos[Valor]))</f>
        <v/>
      </c>
    </row>
    <row r="67" ht="27.75" customHeight="1">
      <c r="A67" s="1"/>
      <c r="B67" s="10"/>
      <c r="C67" s="10"/>
      <c r="D67" s="10"/>
      <c r="E67" s="10"/>
      <c r="F67" s="11"/>
      <c r="G67" s="43"/>
      <c r="H67" s="13"/>
      <c r="I67" s="44" t="str">
        <f>IF(OR(B67="",'Configuración'!$C$8&lt;F67),"",G67+SUMIFS(tOperaciones[Participaciones],tOperaciones[Producto],B67,tOperaciones[Tipo],"Compra",tOperaciones[Fecha],"&gt;="&amp;F67,tOperaciones[Fecha],"&lt;="&amp;'Configuración'!$C$8)-SUMIFS(tOperaciones[Participaciones],tOperaciones[Producto],B67,tOperaciones[Tipo],"Venta",tOperaciones[Fecha],"&gt;="&amp;F67,tOperaciones[Fecha],"&lt;="&amp;'Configuración'!$C$8))</f>
        <v/>
      </c>
      <c r="J67" s="14" t="str">
        <f>IF(OR(B67="",'Configuración'!$C$8&lt;F67),"",H67+SUMIFS(tOperaciones[Importe],tOperaciones[Producto],B67,tOperaciones[Tipo],"Compra",tOperaciones[Fecha],"&gt;="&amp;F67,tOperaciones[Fecha],"&lt;="&amp;'Configuración'!$C$8)-SUMIFS(tOperaciones[Importe],tOperaciones[Producto],B67,tOperaciones[Tipo],"Venta",tOperaciones[Fecha],"&gt;="&amp;F67,tOperaciones[Fecha],"&lt;="&amp;'Configuración'!$C$8))</f>
        <v/>
      </c>
      <c r="K67" s="14" t="str">
        <f>IF(OR(B67="",COUNT(I67)=0),"",IF(I67=0,0,IF(COUNTIFS(tPrecios[Producto],B67,tPrecios[Fecha],"&lt;="&amp;'Configuración'!$C$8)=0,"",I67*SUMIFS(tPrecios[VL EUR],tPrecios[Producto],B67,tPrecios[Fecha],MAXIFS(tPrecios[Fecha],tPrecios[Producto],B67,tPrecios[Fecha],"&lt;="&amp;'Configuración'!$C$8)))))</f>
        <v/>
      </c>
      <c r="L67" s="14" t="str">
        <f>IF(OR(B67="",COUNT(K67)=0),"",K67-J67+SUMIFS(tOperaciones[Importe],tOperaciones[Producto],B67,tOperaciones[Tipo],"Cobro",tOperaciones[Fecha],"&gt;="&amp;F67,tOperaciones[Fecha],"&lt;="&amp;'Configuración'!$C$8))</f>
        <v/>
      </c>
      <c r="M67" s="45" t="str">
        <f>IF(OR(B67="",COUNT(L67)=0,H67+SUMIFS(tOperaciones[Importe],tOperaciones[Producto],B67,tOperaciones[Tipo],"Compra",tOperaciones[Fecha],"&lt;="&amp;'Configuración'!$C$8)=0),"",L67/(H67+SUMIFS(tOperaciones[Importe],tOperaciones[Producto],B67,tOperaciones[Tipo],"Compra",tOperaciones[Fecha],"&lt;="&amp;'Configuración'!$C$8)))</f>
        <v/>
      </c>
      <c r="N67" s="45" t="str">
        <f>IF(OR(B67="",COUNT(K67)=0,COUNT(tProductos[Valor])&lt;&gt;COUNTA(tProductos[ID]),SUM(tProductos[Valor])=0),"",K67/SUM(tProductos[Valor]))</f>
        <v/>
      </c>
    </row>
    <row r="68" ht="27.75" customHeight="1">
      <c r="A68" s="1"/>
      <c r="B68" s="10"/>
      <c r="C68" s="10"/>
      <c r="D68" s="10"/>
      <c r="E68" s="10"/>
      <c r="F68" s="11"/>
      <c r="G68" s="43"/>
      <c r="H68" s="13"/>
      <c r="I68" s="44" t="str">
        <f>IF(OR(B68="",'Configuración'!$C$8&lt;F68),"",G68+SUMIFS(tOperaciones[Participaciones],tOperaciones[Producto],B68,tOperaciones[Tipo],"Compra",tOperaciones[Fecha],"&gt;="&amp;F68,tOperaciones[Fecha],"&lt;="&amp;'Configuración'!$C$8)-SUMIFS(tOperaciones[Participaciones],tOperaciones[Producto],B68,tOperaciones[Tipo],"Venta",tOperaciones[Fecha],"&gt;="&amp;F68,tOperaciones[Fecha],"&lt;="&amp;'Configuración'!$C$8))</f>
        <v/>
      </c>
      <c r="J68" s="14" t="str">
        <f>IF(OR(B68="",'Configuración'!$C$8&lt;F68),"",H68+SUMIFS(tOperaciones[Importe],tOperaciones[Producto],B68,tOperaciones[Tipo],"Compra",tOperaciones[Fecha],"&gt;="&amp;F68,tOperaciones[Fecha],"&lt;="&amp;'Configuración'!$C$8)-SUMIFS(tOperaciones[Importe],tOperaciones[Producto],B68,tOperaciones[Tipo],"Venta",tOperaciones[Fecha],"&gt;="&amp;F68,tOperaciones[Fecha],"&lt;="&amp;'Configuración'!$C$8))</f>
        <v/>
      </c>
      <c r="K68" s="14" t="str">
        <f>IF(OR(B68="",COUNT(I68)=0),"",IF(I68=0,0,IF(COUNTIFS(tPrecios[Producto],B68,tPrecios[Fecha],"&lt;="&amp;'Configuración'!$C$8)=0,"",I68*SUMIFS(tPrecios[VL EUR],tPrecios[Producto],B68,tPrecios[Fecha],MAXIFS(tPrecios[Fecha],tPrecios[Producto],B68,tPrecios[Fecha],"&lt;="&amp;'Configuración'!$C$8)))))</f>
        <v/>
      </c>
      <c r="L68" s="14" t="str">
        <f>IF(OR(B68="",COUNT(K68)=0),"",K68-J68+SUMIFS(tOperaciones[Importe],tOperaciones[Producto],B68,tOperaciones[Tipo],"Cobro",tOperaciones[Fecha],"&gt;="&amp;F68,tOperaciones[Fecha],"&lt;="&amp;'Configuración'!$C$8))</f>
        <v/>
      </c>
      <c r="M68" s="45" t="str">
        <f>IF(OR(B68="",COUNT(L68)=0,H68+SUMIFS(tOperaciones[Importe],tOperaciones[Producto],B68,tOperaciones[Tipo],"Compra",tOperaciones[Fecha],"&lt;="&amp;'Configuración'!$C$8)=0),"",L68/(H68+SUMIFS(tOperaciones[Importe],tOperaciones[Producto],B68,tOperaciones[Tipo],"Compra",tOperaciones[Fecha],"&lt;="&amp;'Configuración'!$C$8)))</f>
        <v/>
      </c>
      <c r="N68" s="45" t="str">
        <f>IF(OR(B68="",COUNT(K68)=0,COUNT(tProductos[Valor])&lt;&gt;COUNTA(tProductos[ID]),SUM(tProductos[Valor])=0),"",K68/SUM(tProductos[Valor]))</f>
        <v/>
      </c>
    </row>
    <row r="69" ht="27.75" customHeight="1">
      <c r="A69" s="1"/>
      <c r="B69" s="10"/>
      <c r="C69" s="10"/>
      <c r="D69" s="10"/>
      <c r="E69" s="10"/>
      <c r="F69" s="11"/>
      <c r="G69" s="43"/>
      <c r="H69" s="13"/>
      <c r="I69" s="44" t="str">
        <f>IF(OR(B69="",'Configuración'!$C$8&lt;F69),"",G69+SUMIFS(tOperaciones[Participaciones],tOperaciones[Producto],B69,tOperaciones[Tipo],"Compra",tOperaciones[Fecha],"&gt;="&amp;F69,tOperaciones[Fecha],"&lt;="&amp;'Configuración'!$C$8)-SUMIFS(tOperaciones[Participaciones],tOperaciones[Producto],B69,tOperaciones[Tipo],"Venta",tOperaciones[Fecha],"&gt;="&amp;F69,tOperaciones[Fecha],"&lt;="&amp;'Configuración'!$C$8))</f>
        <v/>
      </c>
      <c r="J69" s="14" t="str">
        <f>IF(OR(B69="",'Configuración'!$C$8&lt;F69),"",H69+SUMIFS(tOperaciones[Importe],tOperaciones[Producto],B69,tOperaciones[Tipo],"Compra",tOperaciones[Fecha],"&gt;="&amp;F69,tOperaciones[Fecha],"&lt;="&amp;'Configuración'!$C$8)-SUMIFS(tOperaciones[Importe],tOperaciones[Producto],B69,tOperaciones[Tipo],"Venta",tOperaciones[Fecha],"&gt;="&amp;F69,tOperaciones[Fecha],"&lt;="&amp;'Configuración'!$C$8))</f>
        <v/>
      </c>
      <c r="K69" s="14" t="str">
        <f>IF(OR(B69="",COUNT(I69)=0),"",IF(I69=0,0,IF(COUNTIFS(tPrecios[Producto],B69,tPrecios[Fecha],"&lt;="&amp;'Configuración'!$C$8)=0,"",I69*SUMIFS(tPrecios[VL EUR],tPrecios[Producto],B69,tPrecios[Fecha],MAXIFS(tPrecios[Fecha],tPrecios[Producto],B69,tPrecios[Fecha],"&lt;="&amp;'Configuración'!$C$8)))))</f>
        <v/>
      </c>
      <c r="L69" s="14" t="str">
        <f>IF(OR(B69="",COUNT(K69)=0),"",K69-J69+SUMIFS(tOperaciones[Importe],tOperaciones[Producto],B69,tOperaciones[Tipo],"Cobro",tOperaciones[Fecha],"&gt;="&amp;F69,tOperaciones[Fecha],"&lt;="&amp;'Configuración'!$C$8))</f>
        <v/>
      </c>
      <c r="M69" s="45" t="str">
        <f>IF(OR(B69="",COUNT(L69)=0,H69+SUMIFS(tOperaciones[Importe],tOperaciones[Producto],B69,tOperaciones[Tipo],"Compra",tOperaciones[Fecha],"&lt;="&amp;'Configuración'!$C$8)=0),"",L69/(H69+SUMIFS(tOperaciones[Importe],tOperaciones[Producto],B69,tOperaciones[Tipo],"Compra",tOperaciones[Fecha],"&lt;="&amp;'Configuración'!$C$8)))</f>
        <v/>
      </c>
      <c r="N69" s="45" t="str">
        <f>IF(OR(B69="",COUNT(K69)=0,COUNT(tProductos[Valor])&lt;&gt;COUNTA(tProductos[ID]),SUM(tProductos[Valor])=0),"",K69/SUM(tProductos[Valor]))</f>
        <v/>
      </c>
    </row>
    <row r="70" ht="27.75" customHeight="1">
      <c r="A70" s="1"/>
      <c r="B70" s="10"/>
      <c r="C70" s="10"/>
      <c r="D70" s="10"/>
      <c r="E70" s="10"/>
      <c r="F70" s="11"/>
      <c r="G70" s="43"/>
      <c r="H70" s="13"/>
      <c r="I70" s="44" t="str">
        <f>IF(OR(B70="",'Configuración'!$C$8&lt;F70),"",G70+SUMIFS(tOperaciones[Participaciones],tOperaciones[Producto],B70,tOperaciones[Tipo],"Compra",tOperaciones[Fecha],"&gt;="&amp;F70,tOperaciones[Fecha],"&lt;="&amp;'Configuración'!$C$8)-SUMIFS(tOperaciones[Participaciones],tOperaciones[Producto],B70,tOperaciones[Tipo],"Venta",tOperaciones[Fecha],"&gt;="&amp;F70,tOperaciones[Fecha],"&lt;="&amp;'Configuración'!$C$8))</f>
        <v/>
      </c>
      <c r="J70" s="14" t="str">
        <f>IF(OR(B70="",'Configuración'!$C$8&lt;F70),"",H70+SUMIFS(tOperaciones[Importe],tOperaciones[Producto],B70,tOperaciones[Tipo],"Compra",tOperaciones[Fecha],"&gt;="&amp;F70,tOperaciones[Fecha],"&lt;="&amp;'Configuración'!$C$8)-SUMIFS(tOperaciones[Importe],tOperaciones[Producto],B70,tOperaciones[Tipo],"Venta",tOperaciones[Fecha],"&gt;="&amp;F70,tOperaciones[Fecha],"&lt;="&amp;'Configuración'!$C$8))</f>
        <v/>
      </c>
      <c r="K70" s="14" t="str">
        <f>IF(OR(B70="",COUNT(I70)=0),"",IF(I70=0,0,IF(COUNTIFS(tPrecios[Producto],B70,tPrecios[Fecha],"&lt;="&amp;'Configuración'!$C$8)=0,"",I70*SUMIFS(tPrecios[VL EUR],tPrecios[Producto],B70,tPrecios[Fecha],MAXIFS(tPrecios[Fecha],tPrecios[Producto],B70,tPrecios[Fecha],"&lt;="&amp;'Configuración'!$C$8)))))</f>
        <v/>
      </c>
      <c r="L70" s="14" t="str">
        <f>IF(OR(B70="",COUNT(K70)=0),"",K70-J70+SUMIFS(tOperaciones[Importe],tOperaciones[Producto],B70,tOperaciones[Tipo],"Cobro",tOperaciones[Fecha],"&gt;="&amp;F70,tOperaciones[Fecha],"&lt;="&amp;'Configuración'!$C$8))</f>
        <v/>
      </c>
      <c r="M70" s="45" t="str">
        <f>IF(OR(B70="",COUNT(L70)=0,H70+SUMIFS(tOperaciones[Importe],tOperaciones[Producto],B70,tOperaciones[Tipo],"Compra",tOperaciones[Fecha],"&lt;="&amp;'Configuración'!$C$8)=0),"",L70/(H70+SUMIFS(tOperaciones[Importe],tOperaciones[Producto],B70,tOperaciones[Tipo],"Compra",tOperaciones[Fecha],"&lt;="&amp;'Configuración'!$C$8)))</f>
        <v/>
      </c>
      <c r="N70" s="45" t="str">
        <f>IF(OR(B70="",COUNT(K70)=0,COUNT(tProductos[Valor])&lt;&gt;COUNTA(tProductos[ID]),SUM(tProductos[Valor])=0),"",K70/SUM(tProductos[Valor]))</f>
        <v/>
      </c>
    </row>
    <row r="71" ht="27.75" customHeight="1">
      <c r="A71" s="1"/>
      <c r="B71" s="10"/>
      <c r="C71" s="10"/>
      <c r="D71" s="10"/>
      <c r="E71" s="10"/>
      <c r="F71" s="11"/>
      <c r="G71" s="43"/>
      <c r="H71" s="13"/>
      <c r="I71" s="44" t="str">
        <f>IF(OR(B71="",'Configuración'!$C$8&lt;F71),"",G71+SUMIFS(tOperaciones[Participaciones],tOperaciones[Producto],B71,tOperaciones[Tipo],"Compra",tOperaciones[Fecha],"&gt;="&amp;F71,tOperaciones[Fecha],"&lt;="&amp;'Configuración'!$C$8)-SUMIFS(tOperaciones[Participaciones],tOperaciones[Producto],B71,tOperaciones[Tipo],"Venta",tOperaciones[Fecha],"&gt;="&amp;F71,tOperaciones[Fecha],"&lt;="&amp;'Configuración'!$C$8))</f>
        <v/>
      </c>
      <c r="J71" s="14" t="str">
        <f>IF(OR(B71="",'Configuración'!$C$8&lt;F71),"",H71+SUMIFS(tOperaciones[Importe],tOperaciones[Producto],B71,tOperaciones[Tipo],"Compra",tOperaciones[Fecha],"&gt;="&amp;F71,tOperaciones[Fecha],"&lt;="&amp;'Configuración'!$C$8)-SUMIFS(tOperaciones[Importe],tOperaciones[Producto],B71,tOperaciones[Tipo],"Venta",tOperaciones[Fecha],"&gt;="&amp;F71,tOperaciones[Fecha],"&lt;="&amp;'Configuración'!$C$8))</f>
        <v/>
      </c>
      <c r="K71" s="14" t="str">
        <f>IF(OR(B71="",COUNT(I71)=0),"",IF(I71=0,0,IF(COUNTIFS(tPrecios[Producto],B71,tPrecios[Fecha],"&lt;="&amp;'Configuración'!$C$8)=0,"",I71*SUMIFS(tPrecios[VL EUR],tPrecios[Producto],B71,tPrecios[Fecha],MAXIFS(tPrecios[Fecha],tPrecios[Producto],B71,tPrecios[Fecha],"&lt;="&amp;'Configuración'!$C$8)))))</f>
        <v/>
      </c>
      <c r="L71" s="14" t="str">
        <f>IF(OR(B71="",COUNT(K71)=0),"",K71-J71+SUMIFS(tOperaciones[Importe],tOperaciones[Producto],B71,tOperaciones[Tipo],"Cobro",tOperaciones[Fecha],"&gt;="&amp;F71,tOperaciones[Fecha],"&lt;="&amp;'Configuración'!$C$8))</f>
        <v/>
      </c>
      <c r="M71" s="45" t="str">
        <f>IF(OR(B71="",COUNT(L71)=0,H71+SUMIFS(tOperaciones[Importe],tOperaciones[Producto],B71,tOperaciones[Tipo],"Compra",tOperaciones[Fecha],"&lt;="&amp;'Configuración'!$C$8)=0),"",L71/(H71+SUMIFS(tOperaciones[Importe],tOperaciones[Producto],B71,tOperaciones[Tipo],"Compra",tOperaciones[Fecha],"&lt;="&amp;'Configuración'!$C$8)))</f>
        <v/>
      </c>
      <c r="N71" s="45" t="str">
        <f>IF(OR(B71="",COUNT(K71)=0,COUNT(tProductos[Valor])&lt;&gt;COUNTA(tProductos[ID]),SUM(tProductos[Valor])=0),"",K71/SUM(tProductos[Valor]))</f>
        <v/>
      </c>
    </row>
    <row r="72" ht="27.75" customHeight="1">
      <c r="A72" s="1"/>
      <c r="B72" s="10"/>
      <c r="C72" s="10"/>
      <c r="D72" s="10"/>
      <c r="E72" s="10"/>
      <c r="F72" s="11"/>
      <c r="G72" s="43"/>
      <c r="H72" s="13"/>
      <c r="I72" s="44" t="str">
        <f>IF(OR(B72="",'Configuración'!$C$8&lt;F72),"",G72+SUMIFS(tOperaciones[Participaciones],tOperaciones[Producto],B72,tOperaciones[Tipo],"Compra",tOperaciones[Fecha],"&gt;="&amp;F72,tOperaciones[Fecha],"&lt;="&amp;'Configuración'!$C$8)-SUMIFS(tOperaciones[Participaciones],tOperaciones[Producto],B72,tOperaciones[Tipo],"Venta",tOperaciones[Fecha],"&gt;="&amp;F72,tOperaciones[Fecha],"&lt;="&amp;'Configuración'!$C$8))</f>
        <v/>
      </c>
      <c r="J72" s="14" t="str">
        <f>IF(OR(B72="",'Configuración'!$C$8&lt;F72),"",H72+SUMIFS(tOperaciones[Importe],tOperaciones[Producto],B72,tOperaciones[Tipo],"Compra",tOperaciones[Fecha],"&gt;="&amp;F72,tOperaciones[Fecha],"&lt;="&amp;'Configuración'!$C$8)-SUMIFS(tOperaciones[Importe],tOperaciones[Producto],B72,tOperaciones[Tipo],"Venta",tOperaciones[Fecha],"&gt;="&amp;F72,tOperaciones[Fecha],"&lt;="&amp;'Configuración'!$C$8))</f>
        <v/>
      </c>
      <c r="K72" s="14" t="str">
        <f>IF(OR(B72="",COUNT(I72)=0),"",IF(I72=0,0,IF(COUNTIFS(tPrecios[Producto],B72,tPrecios[Fecha],"&lt;="&amp;'Configuración'!$C$8)=0,"",I72*SUMIFS(tPrecios[VL EUR],tPrecios[Producto],B72,tPrecios[Fecha],MAXIFS(tPrecios[Fecha],tPrecios[Producto],B72,tPrecios[Fecha],"&lt;="&amp;'Configuración'!$C$8)))))</f>
        <v/>
      </c>
      <c r="L72" s="14" t="str">
        <f>IF(OR(B72="",COUNT(K72)=0),"",K72-J72+SUMIFS(tOperaciones[Importe],tOperaciones[Producto],B72,tOperaciones[Tipo],"Cobro",tOperaciones[Fecha],"&gt;="&amp;F72,tOperaciones[Fecha],"&lt;="&amp;'Configuración'!$C$8))</f>
        <v/>
      </c>
      <c r="M72" s="45" t="str">
        <f>IF(OR(B72="",COUNT(L72)=0,H72+SUMIFS(tOperaciones[Importe],tOperaciones[Producto],B72,tOperaciones[Tipo],"Compra",tOperaciones[Fecha],"&lt;="&amp;'Configuración'!$C$8)=0),"",L72/(H72+SUMIFS(tOperaciones[Importe],tOperaciones[Producto],B72,tOperaciones[Tipo],"Compra",tOperaciones[Fecha],"&lt;="&amp;'Configuración'!$C$8)))</f>
        <v/>
      </c>
      <c r="N72" s="45" t="str">
        <f>IF(OR(B72="",COUNT(K72)=0,COUNT(tProductos[Valor])&lt;&gt;COUNTA(tProductos[ID]),SUM(tProductos[Valor])=0),"",K72/SUM(tProductos[Valor]))</f>
        <v/>
      </c>
    </row>
    <row r="73" ht="27.75" customHeight="1">
      <c r="A73" s="1"/>
      <c r="B73" s="10"/>
      <c r="C73" s="10"/>
      <c r="D73" s="10"/>
      <c r="E73" s="10"/>
      <c r="F73" s="11"/>
      <c r="G73" s="43"/>
      <c r="H73" s="13"/>
      <c r="I73" s="44" t="str">
        <f>IF(OR(B73="",'Configuración'!$C$8&lt;F73),"",G73+SUMIFS(tOperaciones[Participaciones],tOperaciones[Producto],B73,tOperaciones[Tipo],"Compra",tOperaciones[Fecha],"&gt;="&amp;F73,tOperaciones[Fecha],"&lt;="&amp;'Configuración'!$C$8)-SUMIFS(tOperaciones[Participaciones],tOperaciones[Producto],B73,tOperaciones[Tipo],"Venta",tOperaciones[Fecha],"&gt;="&amp;F73,tOperaciones[Fecha],"&lt;="&amp;'Configuración'!$C$8))</f>
        <v/>
      </c>
      <c r="J73" s="14" t="str">
        <f>IF(OR(B73="",'Configuración'!$C$8&lt;F73),"",H73+SUMIFS(tOperaciones[Importe],tOperaciones[Producto],B73,tOperaciones[Tipo],"Compra",tOperaciones[Fecha],"&gt;="&amp;F73,tOperaciones[Fecha],"&lt;="&amp;'Configuración'!$C$8)-SUMIFS(tOperaciones[Importe],tOperaciones[Producto],B73,tOperaciones[Tipo],"Venta",tOperaciones[Fecha],"&gt;="&amp;F73,tOperaciones[Fecha],"&lt;="&amp;'Configuración'!$C$8))</f>
        <v/>
      </c>
      <c r="K73" s="14" t="str">
        <f>IF(OR(B73="",COUNT(I73)=0),"",IF(I73=0,0,IF(COUNTIFS(tPrecios[Producto],B73,tPrecios[Fecha],"&lt;="&amp;'Configuración'!$C$8)=0,"",I73*SUMIFS(tPrecios[VL EUR],tPrecios[Producto],B73,tPrecios[Fecha],MAXIFS(tPrecios[Fecha],tPrecios[Producto],B73,tPrecios[Fecha],"&lt;="&amp;'Configuración'!$C$8)))))</f>
        <v/>
      </c>
      <c r="L73" s="14" t="str">
        <f>IF(OR(B73="",COUNT(K73)=0),"",K73-J73+SUMIFS(tOperaciones[Importe],tOperaciones[Producto],B73,tOperaciones[Tipo],"Cobro",tOperaciones[Fecha],"&gt;="&amp;F73,tOperaciones[Fecha],"&lt;="&amp;'Configuración'!$C$8))</f>
        <v/>
      </c>
      <c r="M73" s="45" t="str">
        <f>IF(OR(B73="",COUNT(L73)=0,H73+SUMIFS(tOperaciones[Importe],tOperaciones[Producto],B73,tOperaciones[Tipo],"Compra",tOperaciones[Fecha],"&lt;="&amp;'Configuración'!$C$8)=0),"",L73/(H73+SUMIFS(tOperaciones[Importe],tOperaciones[Producto],B73,tOperaciones[Tipo],"Compra",tOperaciones[Fecha],"&lt;="&amp;'Configuración'!$C$8)))</f>
        <v/>
      </c>
      <c r="N73" s="45" t="str">
        <f>IF(OR(B73="",COUNT(K73)=0,COUNT(tProductos[Valor])&lt;&gt;COUNTA(tProductos[ID]),SUM(tProductos[Valor])=0),"",K73/SUM(tProductos[Valor]))</f>
        <v/>
      </c>
    </row>
    <row r="74" ht="27.75" customHeight="1">
      <c r="A74" s="1"/>
      <c r="B74" s="10"/>
      <c r="C74" s="10"/>
      <c r="D74" s="10"/>
      <c r="E74" s="10"/>
      <c r="F74" s="11"/>
      <c r="G74" s="43"/>
      <c r="H74" s="13"/>
      <c r="I74" s="44" t="str">
        <f>IF(OR(B74="",'Configuración'!$C$8&lt;F74),"",G74+SUMIFS(tOperaciones[Participaciones],tOperaciones[Producto],B74,tOperaciones[Tipo],"Compra",tOperaciones[Fecha],"&gt;="&amp;F74,tOperaciones[Fecha],"&lt;="&amp;'Configuración'!$C$8)-SUMIFS(tOperaciones[Participaciones],tOperaciones[Producto],B74,tOperaciones[Tipo],"Venta",tOperaciones[Fecha],"&gt;="&amp;F74,tOperaciones[Fecha],"&lt;="&amp;'Configuración'!$C$8))</f>
        <v/>
      </c>
      <c r="J74" s="14" t="str">
        <f>IF(OR(B74="",'Configuración'!$C$8&lt;F74),"",H74+SUMIFS(tOperaciones[Importe],tOperaciones[Producto],B74,tOperaciones[Tipo],"Compra",tOperaciones[Fecha],"&gt;="&amp;F74,tOperaciones[Fecha],"&lt;="&amp;'Configuración'!$C$8)-SUMIFS(tOperaciones[Importe],tOperaciones[Producto],B74,tOperaciones[Tipo],"Venta",tOperaciones[Fecha],"&gt;="&amp;F74,tOperaciones[Fecha],"&lt;="&amp;'Configuración'!$C$8))</f>
        <v/>
      </c>
      <c r="K74" s="14" t="str">
        <f>IF(OR(B74="",COUNT(I74)=0),"",IF(I74=0,0,IF(COUNTIFS(tPrecios[Producto],B74,tPrecios[Fecha],"&lt;="&amp;'Configuración'!$C$8)=0,"",I74*SUMIFS(tPrecios[VL EUR],tPrecios[Producto],B74,tPrecios[Fecha],MAXIFS(tPrecios[Fecha],tPrecios[Producto],B74,tPrecios[Fecha],"&lt;="&amp;'Configuración'!$C$8)))))</f>
        <v/>
      </c>
      <c r="L74" s="14" t="str">
        <f>IF(OR(B74="",COUNT(K74)=0),"",K74-J74+SUMIFS(tOperaciones[Importe],tOperaciones[Producto],B74,tOperaciones[Tipo],"Cobro",tOperaciones[Fecha],"&gt;="&amp;F74,tOperaciones[Fecha],"&lt;="&amp;'Configuración'!$C$8))</f>
        <v/>
      </c>
      <c r="M74" s="45" t="str">
        <f>IF(OR(B74="",COUNT(L74)=0,H74+SUMIFS(tOperaciones[Importe],tOperaciones[Producto],B74,tOperaciones[Tipo],"Compra",tOperaciones[Fecha],"&lt;="&amp;'Configuración'!$C$8)=0),"",L74/(H74+SUMIFS(tOperaciones[Importe],tOperaciones[Producto],B74,tOperaciones[Tipo],"Compra",tOperaciones[Fecha],"&lt;="&amp;'Configuración'!$C$8)))</f>
        <v/>
      </c>
      <c r="N74" s="45" t="str">
        <f>IF(OR(B74="",COUNT(K74)=0,COUNT(tProductos[Valor])&lt;&gt;COUNTA(tProductos[ID]),SUM(tProductos[Valor])=0),"",K74/SUM(tProductos[Valor]))</f>
        <v/>
      </c>
    </row>
    <row r="75" ht="27.75" customHeight="1">
      <c r="A75" s="1"/>
      <c r="B75" s="10"/>
      <c r="C75" s="10"/>
      <c r="D75" s="10"/>
      <c r="E75" s="10"/>
      <c r="F75" s="11"/>
      <c r="G75" s="43"/>
      <c r="H75" s="13"/>
      <c r="I75" s="44" t="str">
        <f>IF(OR(B75="",'Configuración'!$C$8&lt;F75),"",G75+SUMIFS(tOperaciones[Participaciones],tOperaciones[Producto],B75,tOperaciones[Tipo],"Compra",tOperaciones[Fecha],"&gt;="&amp;F75,tOperaciones[Fecha],"&lt;="&amp;'Configuración'!$C$8)-SUMIFS(tOperaciones[Participaciones],tOperaciones[Producto],B75,tOperaciones[Tipo],"Venta",tOperaciones[Fecha],"&gt;="&amp;F75,tOperaciones[Fecha],"&lt;="&amp;'Configuración'!$C$8))</f>
        <v/>
      </c>
      <c r="J75" s="14" t="str">
        <f>IF(OR(B75="",'Configuración'!$C$8&lt;F75),"",H75+SUMIFS(tOperaciones[Importe],tOperaciones[Producto],B75,tOperaciones[Tipo],"Compra",tOperaciones[Fecha],"&gt;="&amp;F75,tOperaciones[Fecha],"&lt;="&amp;'Configuración'!$C$8)-SUMIFS(tOperaciones[Importe],tOperaciones[Producto],B75,tOperaciones[Tipo],"Venta",tOperaciones[Fecha],"&gt;="&amp;F75,tOperaciones[Fecha],"&lt;="&amp;'Configuración'!$C$8))</f>
        <v/>
      </c>
      <c r="K75" s="14" t="str">
        <f>IF(OR(B75="",COUNT(I75)=0),"",IF(I75=0,0,IF(COUNTIFS(tPrecios[Producto],B75,tPrecios[Fecha],"&lt;="&amp;'Configuración'!$C$8)=0,"",I75*SUMIFS(tPrecios[VL EUR],tPrecios[Producto],B75,tPrecios[Fecha],MAXIFS(tPrecios[Fecha],tPrecios[Producto],B75,tPrecios[Fecha],"&lt;="&amp;'Configuración'!$C$8)))))</f>
        <v/>
      </c>
      <c r="L75" s="14" t="str">
        <f>IF(OR(B75="",COUNT(K75)=0),"",K75-J75+SUMIFS(tOperaciones[Importe],tOperaciones[Producto],B75,tOperaciones[Tipo],"Cobro",tOperaciones[Fecha],"&gt;="&amp;F75,tOperaciones[Fecha],"&lt;="&amp;'Configuración'!$C$8))</f>
        <v/>
      </c>
      <c r="M75" s="45" t="str">
        <f>IF(OR(B75="",COUNT(L75)=0,H75+SUMIFS(tOperaciones[Importe],tOperaciones[Producto],B75,tOperaciones[Tipo],"Compra",tOperaciones[Fecha],"&lt;="&amp;'Configuración'!$C$8)=0),"",L75/(H75+SUMIFS(tOperaciones[Importe],tOperaciones[Producto],B75,tOperaciones[Tipo],"Compra",tOperaciones[Fecha],"&lt;="&amp;'Configuración'!$C$8)))</f>
        <v/>
      </c>
      <c r="N75" s="45" t="str">
        <f>IF(OR(B75="",COUNT(K75)=0,COUNT(tProductos[Valor])&lt;&gt;COUNTA(tProductos[ID]),SUM(tProductos[Valor])=0),"",K75/SUM(tProductos[Valor]))</f>
        <v/>
      </c>
    </row>
    <row r="76" ht="27.75" customHeight="1">
      <c r="A76" s="1"/>
      <c r="B76" s="10"/>
      <c r="C76" s="10"/>
      <c r="D76" s="10"/>
      <c r="E76" s="10"/>
      <c r="F76" s="11"/>
      <c r="G76" s="43"/>
      <c r="H76" s="13"/>
      <c r="I76" s="44" t="str">
        <f>IF(OR(B76="",'Configuración'!$C$8&lt;F76),"",G76+SUMIFS(tOperaciones[Participaciones],tOperaciones[Producto],B76,tOperaciones[Tipo],"Compra",tOperaciones[Fecha],"&gt;="&amp;F76,tOperaciones[Fecha],"&lt;="&amp;'Configuración'!$C$8)-SUMIFS(tOperaciones[Participaciones],tOperaciones[Producto],B76,tOperaciones[Tipo],"Venta",tOperaciones[Fecha],"&gt;="&amp;F76,tOperaciones[Fecha],"&lt;="&amp;'Configuración'!$C$8))</f>
        <v/>
      </c>
      <c r="J76" s="14" t="str">
        <f>IF(OR(B76="",'Configuración'!$C$8&lt;F76),"",H76+SUMIFS(tOperaciones[Importe],tOperaciones[Producto],B76,tOperaciones[Tipo],"Compra",tOperaciones[Fecha],"&gt;="&amp;F76,tOperaciones[Fecha],"&lt;="&amp;'Configuración'!$C$8)-SUMIFS(tOperaciones[Importe],tOperaciones[Producto],B76,tOperaciones[Tipo],"Venta",tOperaciones[Fecha],"&gt;="&amp;F76,tOperaciones[Fecha],"&lt;="&amp;'Configuración'!$C$8))</f>
        <v/>
      </c>
      <c r="K76" s="14" t="str">
        <f>IF(OR(B76="",COUNT(I76)=0),"",IF(I76=0,0,IF(COUNTIFS(tPrecios[Producto],B76,tPrecios[Fecha],"&lt;="&amp;'Configuración'!$C$8)=0,"",I76*SUMIFS(tPrecios[VL EUR],tPrecios[Producto],B76,tPrecios[Fecha],MAXIFS(tPrecios[Fecha],tPrecios[Producto],B76,tPrecios[Fecha],"&lt;="&amp;'Configuración'!$C$8)))))</f>
        <v/>
      </c>
      <c r="L76" s="14" t="str">
        <f>IF(OR(B76="",COUNT(K76)=0),"",K76-J76+SUMIFS(tOperaciones[Importe],tOperaciones[Producto],B76,tOperaciones[Tipo],"Cobro",tOperaciones[Fecha],"&gt;="&amp;F76,tOperaciones[Fecha],"&lt;="&amp;'Configuración'!$C$8))</f>
        <v/>
      </c>
      <c r="M76" s="45" t="str">
        <f>IF(OR(B76="",COUNT(L76)=0,H76+SUMIFS(tOperaciones[Importe],tOperaciones[Producto],B76,tOperaciones[Tipo],"Compra",tOperaciones[Fecha],"&lt;="&amp;'Configuración'!$C$8)=0),"",L76/(H76+SUMIFS(tOperaciones[Importe],tOperaciones[Producto],B76,tOperaciones[Tipo],"Compra",tOperaciones[Fecha],"&lt;="&amp;'Configuración'!$C$8)))</f>
        <v/>
      </c>
      <c r="N76" s="45" t="str">
        <f>IF(OR(B76="",COUNT(K76)=0,COUNT(tProductos[Valor])&lt;&gt;COUNTA(tProductos[ID]),SUM(tProductos[Valor])=0),"",K76/SUM(tProductos[Valor]))</f>
        <v/>
      </c>
    </row>
    <row r="77" ht="27.75" customHeight="1">
      <c r="A77" s="1"/>
      <c r="B77" s="10"/>
      <c r="C77" s="10"/>
      <c r="D77" s="10"/>
      <c r="E77" s="10"/>
      <c r="F77" s="11"/>
      <c r="G77" s="43"/>
      <c r="H77" s="13"/>
      <c r="I77" s="44" t="str">
        <f>IF(OR(B77="",'Configuración'!$C$8&lt;F77),"",G77+SUMIFS(tOperaciones[Participaciones],tOperaciones[Producto],B77,tOperaciones[Tipo],"Compra",tOperaciones[Fecha],"&gt;="&amp;F77,tOperaciones[Fecha],"&lt;="&amp;'Configuración'!$C$8)-SUMIFS(tOperaciones[Participaciones],tOperaciones[Producto],B77,tOperaciones[Tipo],"Venta",tOperaciones[Fecha],"&gt;="&amp;F77,tOperaciones[Fecha],"&lt;="&amp;'Configuración'!$C$8))</f>
        <v/>
      </c>
      <c r="J77" s="14" t="str">
        <f>IF(OR(B77="",'Configuración'!$C$8&lt;F77),"",H77+SUMIFS(tOperaciones[Importe],tOperaciones[Producto],B77,tOperaciones[Tipo],"Compra",tOperaciones[Fecha],"&gt;="&amp;F77,tOperaciones[Fecha],"&lt;="&amp;'Configuración'!$C$8)-SUMIFS(tOperaciones[Importe],tOperaciones[Producto],B77,tOperaciones[Tipo],"Venta",tOperaciones[Fecha],"&gt;="&amp;F77,tOperaciones[Fecha],"&lt;="&amp;'Configuración'!$C$8))</f>
        <v/>
      </c>
      <c r="K77" s="14" t="str">
        <f>IF(OR(B77="",COUNT(I77)=0),"",IF(I77=0,0,IF(COUNTIFS(tPrecios[Producto],B77,tPrecios[Fecha],"&lt;="&amp;'Configuración'!$C$8)=0,"",I77*SUMIFS(tPrecios[VL EUR],tPrecios[Producto],B77,tPrecios[Fecha],MAXIFS(tPrecios[Fecha],tPrecios[Producto],B77,tPrecios[Fecha],"&lt;="&amp;'Configuración'!$C$8)))))</f>
        <v/>
      </c>
      <c r="L77" s="14" t="str">
        <f>IF(OR(B77="",COUNT(K77)=0),"",K77-J77+SUMIFS(tOperaciones[Importe],tOperaciones[Producto],B77,tOperaciones[Tipo],"Cobro",tOperaciones[Fecha],"&gt;="&amp;F77,tOperaciones[Fecha],"&lt;="&amp;'Configuración'!$C$8))</f>
        <v/>
      </c>
      <c r="M77" s="45" t="str">
        <f>IF(OR(B77="",COUNT(L77)=0,H77+SUMIFS(tOperaciones[Importe],tOperaciones[Producto],B77,tOperaciones[Tipo],"Compra",tOperaciones[Fecha],"&lt;="&amp;'Configuración'!$C$8)=0),"",L77/(H77+SUMIFS(tOperaciones[Importe],tOperaciones[Producto],B77,tOperaciones[Tipo],"Compra",tOperaciones[Fecha],"&lt;="&amp;'Configuración'!$C$8)))</f>
        <v/>
      </c>
      <c r="N77" s="45" t="str">
        <f>IF(OR(B77="",COUNT(K77)=0,COUNT(tProductos[Valor])&lt;&gt;COUNTA(tProductos[ID]),SUM(tProductos[Valor])=0),"",K77/SUM(tProductos[Valor]))</f>
        <v/>
      </c>
    </row>
    <row r="78" ht="27.75" customHeight="1">
      <c r="A78" s="1"/>
      <c r="B78" s="10"/>
      <c r="C78" s="10"/>
      <c r="D78" s="10"/>
      <c r="E78" s="10"/>
      <c r="F78" s="11"/>
      <c r="G78" s="43"/>
      <c r="H78" s="13"/>
      <c r="I78" s="44" t="str">
        <f>IF(OR(B78="",'Configuración'!$C$8&lt;F78),"",G78+SUMIFS(tOperaciones[Participaciones],tOperaciones[Producto],B78,tOperaciones[Tipo],"Compra",tOperaciones[Fecha],"&gt;="&amp;F78,tOperaciones[Fecha],"&lt;="&amp;'Configuración'!$C$8)-SUMIFS(tOperaciones[Participaciones],tOperaciones[Producto],B78,tOperaciones[Tipo],"Venta",tOperaciones[Fecha],"&gt;="&amp;F78,tOperaciones[Fecha],"&lt;="&amp;'Configuración'!$C$8))</f>
        <v/>
      </c>
      <c r="J78" s="14" t="str">
        <f>IF(OR(B78="",'Configuración'!$C$8&lt;F78),"",H78+SUMIFS(tOperaciones[Importe],tOperaciones[Producto],B78,tOperaciones[Tipo],"Compra",tOperaciones[Fecha],"&gt;="&amp;F78,tOperaciones[Fecha],"&lt;="&amp;'Configuración'!$C$8)-SUMIFS(tOperaciones[Importe],tOperaciones[Producto],B78,tOperaciones[Tipo],"Venta",tOperaciones[Fecha],"&gt;="&amp;F78,tOperaciones[Fecha],"&lt;="&amp;'Configuración'!$C$8))</f>
        <v/>
      </c>
      <c r="K78" s="14" t="str">
        <f>IF(OR(B78="",COUNT(I78)=0),"",IF(I78=0,0,IF(COUNTIFS(tPrecios[Producto],B78,tPrecios[Fecha],"&lt;="&amp;'Configuración'!$C$8)=0,"",I78*SUMIFS(tPrecios[VL EUR],tPrecios[Producto],B78,tPrecios[Fecha],MAXIFS(tPrecios[Fecha],tPrecios[Producto],B78,tPrecios[Fecha],"&lt;="&amp;'Configuración'!$C$8)))))</f>
        <v/>
      </c>
      <c r="L78" s="14" t="str">
        <f>IF(OR(B78="",COUNT(K78)=0),"",K78-J78+SUMIFS(tOperaciones[Importe],tOperaciones[Producto],B78,tOperaciones[Tipo],"Cobro",tOperaciones[Fecha],"&gt;="&amp;F78,tOperaciones[Fecha],"&lt;="&amp;'Configuración'!$C$8))</f>
        <v/>
      </c>
      <c r="M78" s="45" t="str">
        <f>IF(OR(B78="",COUNT(L78)=0,H78+SUMIFS(tOperaciones[Importe],tOperaciones[Producto],B78,tOperaciones[Tipo],"Compra",tOperaciones[Fecha],"&lt;="&amp;'Configuración'!$C$8)=0),"",L78/(H78+SUMIFS(tOperaciones[Importe],tOperaciones[Producto],B78,tOperaciones[Tipo],"Compra",tOperaciones[Fecha],"&lt;="&amp;'Configuración'!$C$8)))</f>
        <v/>
      </c>
      <c r="N78" s="45" t="str">
        <f>IF(OR(B78="",COUNT(K78)=0,COUNT(tProductos[Valor])&lt;&gt;COUNTA(tProductos[ID]),SUM(tProductos[Valor])=0),"",K78/SUM(tProductos[Valor]))</f>
        <v/>
      </c>
    </row>
    <row r="79" ht="27.75" customHeight="1">
      <c r="A79" s="1"/>
      <c r="B79" s="10"/>
      <c r="C79" s="10"/>
      <c r="D79" s="10"/>
      <c r="E79" s="10"/>
      <c r="F79" s="11"/>
      <c r="G79" s="43"/>
      <c r="H79" s="13"/>
      <c r="I79" s="44" t="str">
        <f>IF(OR(B79="",'Configuración'!$C$8&lt;F79),"",G79+SUMIFS(tOperaciones[Participaciones],tOperaciones[Producto],B79,tOperaciones[Tipo],"Compra",tOperaciones[Fecha],"&gt;="&amp;F79,tOperaciones[Fecha],"&lt;="&amp;'Configuración'!$C$8)-SUMIFS(tOperaciones[Participaciones],tOperaciones[Producto],B79,tOperaciones[Tipo],"Venta",tOperaciones[Fecha],"&gt;="&amp;F79,tOperaciones[Fecha],"&lt;="&amp;'Configuración'!$C$8))</f>
        <v/>
      </c>
      <c r="J79" s="14" t="str">
        <f>IF(OR(B79="",'Configuración'!$C$8&lt;F79),"",H79+SUMIFS(tOperaciones[Importe],tOperaciones[Producto],B79,tOperaciones[Tipo],"Compra",tOperaciones[Fecha],"&gt;="&amp;F79,tOperaciones[Fecha],"&lt;="&amp;'Configuración'!$C$8)-SUMIFS(tOperaciones[Importe],tOperaciones[Producto],B79,tOperaciones[Tipo],"Venta",tOperaciones[Fecha],"&gt;="&amp;F79,tOperaciones[Fecha],"&lt;="&amp;'Configuración'!$C$8))</f>
        <v/>
      </c>
      <c r="K79" s="14" t="str">
        <f>IF(OR(B79="",COUNT(I79)=0),"",IF(I79=0,0,IF(COUNTIFS(tPrecios[Producto],B79,tPrecios[Fecha],"&lt;="&amp;'Configuración'!$C$8)=0,"",I79*SUMIFS(tPrecios[VL EUR],tPrecios[Producto],B79,tPrecios[Fecha],MAXIFS(tPrecios[Fecha],tPrecios[Producto],B79,tPrecios[Fecha],"&lt;="&amp;'Configuración'!$C$8)))))</f>
        <v/>
      </c>
      <c r="L79" s="14" t="str">
        <f>IF(OR(B79="",COUNT(K79)=0),"",K79-J79+SUMIFS(tOperaciones[Importe],tOperaciones[Producto],B79,tOperaciones[Tipo],"Cobro",tOperaciones[Fecha],"&gt;="&amp;F79,tOperaciones[Fecha],"&lt;="&amp;'Configuración'!$C$8))</f>
        <v/>
      </c>
      <c r="M79" s="45" t="str">
        <f>IF(OR(B79="",COUNT(L79)=0,H79+SUMIFS(tOperaciones[Importe],tOperaciones[Producto],B79,tOperaciones[Tipo],"Compra",tOperaciones[Fecha],"&lt;="&amp;'Configuración'!$C$8)=0),"",L79/(H79+SUMIFS(tOperaciones[Importe],tOperaciones[Producto],B79,tOperaciones[Tipo],"Compra",tOperaciones[Fecha],"&lt;="&amp;'Configuración'!$C$8)))</f>
        <v/>
      </c>
      <c r="N79" s="45" t="str">
        <f>IF(OR(B79="",COUNT(K79)=0,COUNT(tProductos[Valor])&lt;&gt;COUNTA(tProductos[ID]),SUM(tProductos[Valor])=0),"",K79/SUM(tProductos[Valor]))</f>
        <v/>
      </c>
    </row>
    <row r="80" ht="27.75" customHeight="1">
      <c r="A80" s="1"/>
      <c r="B80" s="10"/>
      <c r="C80" s="10"/>
      <c r="D80" s="10"/>
      <c r="E80" s="10"/>
      <c r="F80" s="11"/>
      <c r="G80" s="43"/>
      <c r="H80" s="13"/>
      <c r="I80" s="44" t="str">
        <f>IF(OR(B80="",'Configuración'!$C$8&lt;F80),"",G80+SUMIFS(tOperaciones[Participaciones],tOperaciones[Producto],B80,tOperaciones[Tipo],"Compra",tOperaciones[Fecha],"&gt;="&amp;F80,tOperaciones[Fecha],"&lt;="&amp;'Configuración'!$C$8)-SUMIFS(tOperaciones[Participaciones],tOperaciones[Producto],B80,tOperaciones[Tipo],"Venta",tOperaciones[Fecha],"&gt;="&amp;F80,tOperaciones[Fecha],"&lt;="&amp;'Configuración'!$C$8))</f>
        <v/>
      </c>
      <c r="J80" s="14" t="str">
        <f>IF(OR(B80="",'Configuración'!$C$8&lt;F80),"",H80+SUMIFS(tOperaciones[Importe],tOperaciones[Producto],B80,tOperaciones[Tipo],"Compra",tOperaciones[Fecha],"&gt;="&amp;F80,tOperaciones[Fecha],"&lt;="&amp;'Configuración'!$C$8)-SUMIFS(tOperaciones[Importe],tOperaciones[Producto],B80,tOperaciones[Tipo],"Venta",tOperaciones[Fecha],"&gt;="&amp;F80,tOperaciones[Fecha],"&lt;="&amp;'Configuración'!$C$8))</f>
        <v/>
      </c>
      <c r="K80" s="14" t="str">
        <f>IF(OR(B80="",COUNT(I80)=0),"",IF(I80=0,0,IF(COUNTIFS(tPrecios[Producto],B80,tPrecios[Fecha],"&lt;="&amp;'Configuración'!$C$8)=0,"",I80*SUMIFS(tPrecios[VL EUR],tPrecios[Producto],B80,tPrecios[Fecha],MAXIFS(tPrecios[Fecha],tPrecios[Producto],B80,tPrecios[Fecha],"&lt;="&amp;'Configuración'!$C$8)))))</f>
        <v/>
      </c>
      <c r="L80" s="14" t="str">
        <f>IF(OR(B80="",COUNT(K80)=0),"",K80-J80+SUMIFS(tOperaciones[Importe],tOperaciones[Producto],B80,tOperaciones[Tipo],"Cobro",tOperaciones[Fecha],"&gt;="&amp;F80,tOperaciones[Fecha],"&lt;="&amp;'Configuración'!$C$8))</f>
        <v/>
      </c>
      <c r="M80" s="45" t="str">
        <f>IF(OR(B80="",COUNT(L80)=0,H80+SUMIFS(tOperaciones[Importe],tOperaciones[Producto],B80,tOperaciones[Tipo],"Compra",tOperaciones[Fecha],"&lt;="&amp;'Configuración'!$C$8)=0),"",L80/(H80+SUMIFS(tOperaciones[Importe],tOperaciones[Producto],B80,tOperaciones[Tipo],"Compra",tOperaciones[Fecha],"&lt;="&amp;'Configuración'!$C$8)))</f>
        <v/>
      </c>
      <c r="N80" s="45" t="str">
        <f>IF(OR(B80="",COUNT(K80)=0,COUNT(tProductos[Valor])&lt;&gt;COUNTA(tProductos[ID]),SUM(tProductos[Valor])=0),"",K80/SUM(tProductos[Valor]))</f>
        <v/>
      </c>
    </row>
    <row r="81" ht="27.75" customHeight="1">
      <c r="A81" s="1"/>
      <c r="B81" s="10"/>
      <c r="C81" s="10"/>
      <c r="D81" s="10"/>
      <c r="E81" s="10"/>
      <c r="F81" s="11"/>
      <c r="G81" s="43"/>
      <c r="H81" s="13"/>
      <c r="I81" s="44" t="str">
        <f>IF(OR(B81="",'Configuración'!$C$8&lt;F81),"",G81+SUMIFS(tOperaciones[Participaciones],tOperaciones[Producto],B81,tOperaciones[Tipo],"Compra",tOperaciones[Fecha],"&gt;="&amp;F81,tOperaciones[Fecha],"&lt;="&amp;'Configuración'!$C$8)-SUMIFS(tOperaciones[Participaciones],tOperaciones[Producto],B81,tOperaciones[Tipo],"Venta",tOperaciones[Fecha],"&gt;="&amp;F81,tOperaciones[Fecha],"&lt;="&amp;'Configuración'!$C$8))</f>
        <v/>
      </c>
      <c r="J81" s="14" t="str">
        <f>IF(OR(B81="",'Configuración'!$C$8&lt;F81),"",H81+SUMIFS(tOperaciones[Importe],tOperaciones[Producto],B81,tOperaciones[Tipo],"Compra",tOperaciones[Fecha],"&gt;="&amp;F81,tOperaciones[Fecha],"&lt;="&amp;'Configuración'!$C$8)-SUMIFS(tOperaciones[Importe],tOperaciones[Producto],B81,tOperaciones[Tipo],"Venta",tOperaciones[Fecha],"&gt;="&amp;F81,tOperaciones[Fecha],"&lt;="&amp;'Configuración'!$C$8))</f>
        <v/>
      </c>
      <c r="K81" s="14" t="str">
        <f>IF(OR(B81="",COUNT(I81)=0),"",IF(I81=0,0,IF(COUNTIFS(tPrecios[Producto],B81,tPrecios[Fecha],"&lt;="&amp;'Configuración'!$C$8)=0,"",I81*SUMIFS(tPrecios[VL EUR],tPrecios[Producto],B81,tPrecios[Fecha],MAXIFS(tPrecios[Fecha],tPrecios[Producto],B81,tPrecios[Fecha],"&lt;="&amp;'Configuración'!$C$8)))))</f>
        <v/>
      </c>
      <c r="L81" s="14" t="str">
        <f>IF(OR(B81="",COUNT(K81)=0),"",K81-J81+SUMIFS(tOperaciones[Importe],tOperaciones[Producto],B81,tOperaciones[Tipo],"Cobro",tOperaciones[Fecha],"&gt;="&amp;F81,tOperaciones[Fecha],"&lt;="&amp;'Configuración'!$C$8))</f>
        <v/>
      </c>
      <c r="M81" s="45" t="str">
        <f>IF(OR(B81="",COUNT(L81)=0,H81+SUMIFS(tOperaciones[Importe],tOperaciones[Producto],B81,tOperaciones[Tipo],"Compra",tOperaciones[Fecha],"&lt;="&amp;'Configuración'!$C$8)=0),"",L81/(H81+SUMIFS(tOperaciones[Importe],tOperaciones[Producto],B81,tOperaciones[Tipo],"Compra",tOperaciones[Fecha],"&lt;="&amp;'Configuración'!$C$8)))</f>
        <v/>
      </c>
      <c r="N81" s="45" t="str">
        <f>IF(OR(B81="",COUNT(K81)=0,COUNT(tProductos[Valor])&lt;&gt;COUNTA(tProductos[ID]),SUM(tProductos[Valor])=0),"",K81/SUM(tProductos[Valor]))</f>
        <v/>
      </c>
    </row>
    <row r="82" ht="27.75" customHeight="1">
      <c r="A82" s="1"/>
      <c r="B82" s="10"/>
      <c r="C82" s="10"/>
      <c r="D82" s="10"/>
      <c r="E82" s="10"/>
      <c r="F82" s="11"/>
      <c r="G82" s="43"/>
      <c r="H82" s="13"/>
      <c r="I82" s="44" t="str">
        <f>IF(OR(B82="",'Configuración'!$C$8&lt;F82),"",G82+SUMIFS(tOperaciones[Participaciones],tOperaciones[Producto],B82,tOperaciones[Tipo],"Compra",tOperaciones[Fecha],"&gt;="&amp;F82,tOperaciones[Fecha],"&lt;="&amp;'Configuración'!$C$8)-SUMIFS(tOperaciones[Participaciones],tOperaciones[Producto],B82,tOperaciones[Tipo],"Venta",tOperaciones[Fecha],"&gt;="&amp;F82,tOperaciones[Fecha],"&lt;="&amp;'Configuración'!$C$8))</f>
        <v/>
      </c>
      <c r="J82" s="14" t="str">
        <f>IF(OR(B82="",'Configuración'!$C$8&lt;F82),"",H82+SUMIFS(tOperaciones[Importe],tOperaciones[Producto],B82,tOperaciones[Tipo],"Compra",tOperaciones[Fecha],"&gt;="&amp;F82,tOperaciones[Fecha],"&lt;="&amp;'Configuración'!$C$8)-SUMIFS(tOperaciones[Importe],tOperaciones[Producto],B82,tOperaciones[Tipo],"Venta",tOperaciones[Fecha],"&gt;="&amp;F82,tOperaciones[Fecha],"&lt;="&amp;'Configuración'!$C$8))</f>
        <v/>
      </c>
      <c r="K82" s="14" t="str">
        <f>IF(OR(B82="",COUNT(I82)=0),"",IF(I82=0,0,IF(COUNTIFS(tPrecios[Producto],B82,tPrecios[Fecha],"&lt;="&amp;'Configuración'!$C$8)=0,"",I82*SUMIFS(tPrecios[VL EUR],tPrecios[Producto],B82,tPrecios[Fecha],MAXIFS(tPrecios[Fecha],tPrecios[Producto],B82,tPrecios[Fecha],"&lt;="&amp;'Configuración'!$C$8)))))</f>
        <v/>
      </c>
      <c r="L82" s="14" t="str">
        <f>IF(OR(B82="",COUNT(K82)=0),"",K82-J82+SUMIFS(tOperaciones[Importe],tOperaciones[Producto],B82,tOperaciones[Tipo],"Cobro",tOperaciones[Fecha],"&gt;="&amp;F82,tOperaciones[Fecha],"&lt;="&amp;'Configuración'!$C$8))</f>
        <v/>
      </c>
      <c r="M82" s="45" t="str">
        <f>IF(OR(B82="",COUNT(L82)=0,H82+SUMIFS(tOperaciones[Importe],tOperaciones[Producto],B82,tOperaciones[Tipo],"Compra",tOperaciones[Fecha],"&lt;="&amp;'Configuración'!$C$8)=0),"",L82/(H82+SUMIFS(tOperaciones[Importe],tOperaciones[Producto],B82,tOperaciones[Tipo],"Compra",tOperaciones[Fecha],"&lt;="&amp;'Configuración'!$C$8)))</f>
        <v/>
      </c>
      <c r="N82" s="45" t="str">
        <f>IF(OR(B82="",COUNT(K82)=0,COUNT(tProductos[Valor])&lt;&gt;COUNTA(tProductos[ID]),SUM(tProductos[Valor])=0),"",K82/SUM(tProductos[Valor]))</f>
        <v/>
      </c>
    </row>
    <row r="83" ht="27.75" customHeight="1">
      <c r="A83" s="1"/>
      <c r="B83" s="10"/>
      <c r="C83" s="10"/>
      <c r="D83" s="10"/>
      <c r="E83" s="10"/>
      <c r="F83" s="11"/>
      <c r="G83" s="43"/>
      <c r="H83" s="13"/>
      <c r="I83" s="44" t="str">
        <f>IF(OR(B83="",'Configuración'!$C$8&lt;F83),"",G83+SUMIFS(tOperaciones[Participaciones],tOperaciones[Producto],B83,tOperaciones[Tipo],"Compra",tOperaciones[Fecha],"&gt;="&amp;F83,tOperaciones[Fecha],"&lt;="&amp;'Configuración'!$C$8)-SUMIFS(tOperaciones[Participaciones],tOperaciones[Producto],B83,tOperaciones[Tipo],"Venta",tOperaciones[Fecha],"&gt;="&amp;F83,tOperaciones[Fecha],"&lt;="&amp;'Configuración'!$C$8))</f>
        <v/>
      </c>
      <c r="J83" s="14" t="str">
        <f>IF(OR(B83="",'Configuración'!$C$8&lt;F83),"",H83+SUMIFS(tOperaciones[Importe],tOperaciones[Producto],B83,tOperaciones[Tipo],"Compra",tOperaciones[Fecha],"&gt;="&amp;F83,tOperaciones[Fecha],"&lt;="&amp;'Configuración'!$C$8)-SUMIFS(tOperaciones[Importe],tOperaciones[Producto],B83,tOperaciones[Tipo],"Venta",tOperaciones[Fecha],"&gt;="&amp;F83,tOperaciones[Fecha],"&lt;="&amp;'Configuración'!$C$8))</f>
        <v/>
      </c>
      <c r="K83" s="14" t="str">
        <f>IF(OR(B83="",COUNT(I83)=0),"",IF(I83=0,0,IF(COUNTIFS(tPrecios[Producto],B83,tPrecios[Fecha],"&lt;="&amp;'Configuración'!$C$8)=0,"",I83*SUMIFS(tPrecios[VL EUR],tPrecios[Producto],B83,tPrecios[Fecha],MAXIFS(tPrecios[Fecha],tPrecios[Producto],B83,tPrecios[Fecha],"&lt;="&amp;'Configuración'!$C$8)))))</f>
        <v/>
      </c>
      <c r="L83" s="14" t="str">
        <f>IF(OR(B83="",COUNT(K83)=0),"",K83-J83+SUMIFS(tOperaciones[Importe],tOperaciones[Producto],B83,tOperaciones[Tipo],"Cobro",tOperaciones[Fecha],"&gt;="&amp;F83,tOperaciones[Fecha],"&lt;="&amp;'Configuración'!$C$8))</f>
        <v/>
      </c>
      <c r="M83" s="45" t="str">
        <f>IF(OR(B83="",COUNT(L83)=0,H83+SUMIFS(tOperaciones[Importe],tOperaciones[Producto],B83,tOperaciones[Tipo],"Compra",tOperaciones[Fecha],"&lt;="&amp;'Configuración'!$C$8)=0),"",L83/(H83+SUMIFS(tOperaciones[Importe],tOperaciones[Producto],B83,tOperaciones[Tipo],"Compra",tOperaciones[Fecha],"&lt;="&amp;'Configuración'!$C$8)))</f>
        <v/>
      </c>
      <c r="N83" s="45" t="str">
        <f>IF(OR(B83="",COUNT(K83)=0,COUNT(tProductos[Valor])&lt;&gt;COUNTA(tProductos[ID]),SUM(tProductos[Valor])=0),"",K83/SUM(tProductos[Valor]))</f>
        <v/>
      </c>
    </row>
    <row r="84" ht="27.75" customHeight="1">
      <c r="A84" s="1"/>
      <c r="B84" s="10"/>
      <c r="C84" s="10"/>
      <c r="D84" s="10"/>
      <c r="E84" s="10"/>
      <c r="F84" s="11"/>
      <c r="G84" s="43"/>
      <c r="H84" s="13"/>
      <c r="I84" s="44" t="str">
        <f>IF(OR(B84="",'Configuración'!$C$8&lt;F84),"",G84+SUMIFS(tOperaciones[Participaciones],tOperaciones[Producto],B84,tOperaciones[Tipo],"Compra",tOperaciones[Fecha],"&gt;="&amp;F84,tOperaciones[Fecha],"&lt;="&amp;'Configuración'!$C$8)-SUMIFS(tOperaciones[Participaciones],tOperaciones[Producto],B84,tOperaciones[Tipo],"Venta",tOperaciones[Fecha],"&gt;="&amp;F84,tOperaciones[Fecha],"&lt;="&amp;'Configuración'!$C$8))</f>
        <v/>
      </c>
      <c r="J84" s="14" t="str">
        <f>IF(OR(B84="",'Configuración'!$C$8&lt;F84),"",H84+SUMIFS(tOperaciones[Importe],tOperaciones[Producto],B84,tOperaciones[Tipo],"Compra",tOperaciones[Fecha],"&gt;="&amp;F84,tOperaciones[Fecha],"&lt;="&amp;'Configuración'!$C$8)-SUMIFS(tOperaciones[Importe],tOperaciones[Producto],B84,tOperaciones[Tipo],"Venta",tOperaciones[Fecha],"&gt;="&amp;F84,tOperaciones[Fecha],"&lt;="&amp;'Configuración'!$C$8))</f>
        <v/>
      </c>
      <c r="K84" s="14" t="str">
        <f>IF(OR(B84="",COUNT(I84)=0),"",IF(I84=0,0,IF(COUNTIFS(tPrecios[Producto],B84,tPrecios[Fecha],"&lt;="&amp;'Configuración'!$C$8)=0,"",I84*SUMIFS(tPrecios[VL EUR],tPrecios[Producto],B84,tPrecios[Fecha],MAXIFS(tPrecios[Fecha],tPrecios[Producto],B84,tPrecios[Fecha],"&lt;="&amp;'Configuración'!$C$8)))))</f>
        <v/>
      </c>
      <c r="L84" s="14" t="str">
        <f>IF(OR(B84="",COUNT(K84)=0),"",K84-J84+SUMIFS(tOperaciones[Importe],tOperaciones[Producto],B84,tOperaciones[Tipo],"Cobro",tOperaciones[Fecha],"&gt;="&amp;F84,tOperaciones[Fecha],"&lt;="&amp;'Configuración'!$C$8))</f>
        <v/>
      </c>
      <c r="M84" s="45" t="str">
        <f>IF(OR(B84="",COUNT(L84)=0,H84+SUMIFS(tOperaciones[Importe],tOperaciones[Producto],B84,tOperaciones[Tipo],"Compra",tOperaciones[Fecha],"&lt;="&amp;'Configuración'!$C$8)=0),"",L84/(H84+SUMIFS(tOperaciones[Importe],tOperaciones[Producto],B84,tOperaciones[Tipo],"Compra",tOperaciones[Fecha],"&lt;="&amp;'Configuración'!$C$8)))</f>
        <v/>
      </c>
      <c r="N84" s="45" t="str">
        <f>IF(OR(B84="",COUNT(K84)=0,COUNT(tProductos[Valor])&lt;&gt;COUNTA(tProductos[ID]),SUM(tProductos[Valor])=0),"",K84/SUM(tProductos[Valor]))</f>
        <v/>
      </c>
    </row>
    <row r="85" ht="27.75" customHeight="1">
      <c r="A85" s="1"/>
      <c r="B85" s="10"/>
      <c r="C85" s="10"/>
      <c r="D85" s="10"/>
      <c r="E85" s="10"/>
      <c r="F85" s="11"/>
      <c r="G85" s="43"/>
      <c r="H85" s="13"/>
      <c r="I85" s="44" t="str">
        <f>IF(OR(B85="",'Configuración'!$C$8&lt;F85),"",G85+SUMIFS(tOperaciones[Participaciones],tOperaciones[Producto],B85,tOperaciones[Tipo],"Compra",tOperaciones[Fecha],"&gt;="&amp;F85,tOperaciones[Fecha],"&lt;="&amp;'Configuración'!$C$8)-SUMIFS(tOperaciones[Participaciones],tOperaciones[Producto],B85,tOperaciones[Tipo],"Venta",tOperaciones[Fecha],"&gt;="&amp;F85,tOperaciones[Fecha],"&lt;="&amp;'Configuración'!$C$8))</f>
        <v/>
      </c>
      <c r="J85" s="14" t="str">
        <f>IF(OR(B85="",'Configuración'!$C$8&lt;F85),"",H85+SUMIFS(tOperaciones[Importe],tOperaciones[Producto],B85,tOperaciones[Tipo],"Compra",tOperaciones[Fecha],"&gt;="&amp;F85,tOperaciones[Fecha],"&lt;="&amp;'Configuración'!$C$8)-SUMIFS(tOperaciones[Importe],tOperaciones[Producto],B85,tOperaciones[Tipo],"Venta",tOperaciones[Fecha],"&gt;="&amp;F85,tOperaciones[Fecha],"&lt;="&amp;'Configuración'!$C$8))</f>
        <v/>
      </c>
      <c r="K85" s="14" t="str">
        <f>IF(OR(B85="",COUNT(I85)=0),"",IF(I85=0,0,IF(COUNTIFS(tPrecios[Producto],B85,tPrecios[Fecha],"&lt;="&amp;'Configuración'!$C$8)=0,"",I85*SUMIFS(tPrecios[VL EUR],tPrecios[Producto],B85,tPrecios[Fecha],MAXIFS(tPrecios[Fecha],tPrecios[Producto],B85,tPrecios[Fecha],"&lt;="&amp;'Configuración'!$C$8)))))</f>
        <v/>
      </c>
      <c r="L85" s="14" t="str">
        <f>IF(OR(B85="",COUNT(K85)=0),"",K85-J85+SUMIFS(tOperaciones[Importe],tOperaciones[Producto],B85,tOperaciones[Tipo],"Cobro",tOperaciones[Fecha],"&gt;="&amp;F85,tOperaciones[Fecha],"&lt;="&amp;'Configuración'!$C$8))</f>
        <v/>
      </c>
      <c r="M85" s="45" t="str">
        <f>IF(OR(B85="",COUNT(L85)=0,H85+SUMIFS(tOperaciones[Importe],tOperaciones[Producto],B85,tOperaciones[Tipo],"Compra",tOperaciones[Fecha],"&lt;="&amp;'Configuración'!$C$8)=0),"",L85/(H85+SUMIFS(tOperaciones[Importe],tOperaciones[Producto],B85,tOperaciones[Tipo],"Compra",tOperaciones[Fecha],"&lt;="&amp;'Configuración'!$C$8)))</f>
        <v/>
      </c>
      <c r="N85" s="45" t="str">
        <f>IF(OR(B85="",COUNT(K85)=0,COUNT(tProductos[Valor])&lt;&gt;COUNTA(tProductos[ID]),SUM(tProductos[Valor])=0),"",K85/SUM(tProductos[Valor]))</f>
        <v/>
      </c>
    </row>
    <row r="86" ht="27.75" customHeight="1">
      <c r="A86" s="1"/>
      <c r="B86" s="10"/>
      <c r="C86" s="10"/>
      <c r="D86" s="10"/>
      <c r="E86" s="10"/>
      <c r="F86" s="11"/>
      <c r="G86" s="43"/>
      <c r="H86" s="13"/>
      <c r="I86" s="44" t="str">
        <f>IF(OR(B86="",'Configuración'!$C$8&lt;F86),"",G86+SUMIFS(tOperaciones[Participaciones],tOperaciones[Producto],B86,tOperaciones[Tipo],"Compra",tOperaciones[Fecha],"&gt;="&amp;F86,tOperaciones[Fecha],"&lt;="&amp;'Configuración'!$C$8)-SUMIFS(tOperaciones[Participaciones],tOperaciones[Producto],B86,tOperaciones[Tipo],"Venta",tOperaciones[Fecha],"&gt;="&amp;F86,tOperaciones[Fecha],"&lt;="&amp;'Configuración'!$C$8))</f>
        <v/>
      </c>
      <c r="J86" s="14" t="str">
        <f>IF(OR(B86="",'Configuración'!$C$8&lt;F86),"",H86+SUMIFS(tOperaciones[Importe],tOperaciones[Producto],B86,tOperaciones[Tipo],"Compra",tOperaciones[Fecha],"&gt;="&amp;F86,tOperaciones[Fecha],"&lt;="&amp;'Configuración'!$C$8)-SUMIFS(tOperaciones[Importe],tOperaciones[Producto],B86,tOperaciones[Tipo],"Venta",tOperaciones[Fecha],"&gt;="&amp;F86,tOperaciones[Fecha],"&lt;="&amp;'Configuración'!$C$8))</f>
        <v/>
      </c>
      <c r="K86" s="14" t="str">
        <f>IF(OR(B86="",COUNT(I86)=0),"",IF(I86=0,0,IF(COUNTIFS(tPrecios[Producto],B86,tPrecios[Fecha],"&lt;="&amp;'Configuración'!$C$8)=0,"",I86*SUMIFS(tPrecios[VL EUR],tPrecios[Producto],B86,tPrecios[Fecha],MAXIFS(tPrecios[Fecha],tPrecios[Producto],B86,tPrecios[Fecha],"&lt;="&amp;'Configuración'!$C$8)))))</f>
        <v/>
      </c>
      <c r="L86" s="14" t="str">
        <f>IF(OR(B86="",COUNT(K86)=0),"",K86-J86+SUMIFS(tOperaciones[Importe],tOperaciones[Producto],B86,tOperaciones[Tipo],"Cobro",tOperaciones[Fecha],"&gt;="&amp;F86,tOperaciones[Fecha],"&lt;="&amp;'Configuración'!$C$8))</f>
        <v/>
      </c>
      <c r="M86" s="45" t="str">
        <f>IF(OR(B86="",COUNT(L86)=0,H86+SUMIFS(tOperaciones[Importe],tOperaciones[Producto],B86,tOperaciones[Tipo],"Compra",tOperaciones[Fecha],"&lt;="&amp;'Configuración'!$C$8)=0),"",L86/(H86+SUMIFS(tOperaciones[Importe],tOperaciones[Producto],B86,tOperaciones[Tipo],"Compra",tOperaciones[Fecha],"&lt;="&amp;'Configuración'!$C$8)))</f>
        <v/>
      </c>
      <c r="N86" s="45" t="str">
        <f>IF(OR(B86="",COUNT(K86)=0,COUNT(tProductos[Valor])&lt;&gt;COUNTA(tProductos[ID]),SUM(tProductos[Valor])=0),"",K86/SUM(tProductos[Valor]))</f>
        <v/>
      </c>
    </row>
    <row r="87" ht="27.75" customHeight="1">
      <c r="A87" s="1"/>
      <c r="B87" s="10"/>
      <c r="C87" s="10"/>
      <c r="D87" s="10"/>
      <c r="E87" s="10"/>
      <c r="F87" s="11"/>
      <c r="G87" s="43"/>
      <c r="H87" s="13"/>
      <c r="I87" s="44" t="str">
        <f>IF(OR(B87="",'Configuración'!$C$8&lt;F87),"",G87+SUMIFS(tOperaciones[Participaciones],tOperaciones[Producto],B87,tOperaciones[Tipo],"Compra",tOperaciones[Fecha],"&gt;="&amp;F87,tOperaciones[Fecha],"&lt;="&amp;'Configuración'!$C$8)-SUMIFS(tOperaciones[Participaciones],tOperaciones[Producto],B87,tOperaciones[Tipo],"Venta",tOperaciones[Fecha],"&gt;="&amp;F87,tOperaciones[Fecha],"&lt;="&amp;'Configuración'!$C$8))</f>
        <v/>
      </c>
      <c r="J87" s="14" t="str">
        <f>IF(OR(B87="",'Configuración'!$C$8&lt;F87),"",H87+SUMIFS(tOperaciones[Importe],tOperaciones[Producto],B87,tOperaciones[Tipo],"Compra",tOperaciones[Fecha],"&gt;="&amp;F87,tOperaciones[Fecha],"&lt;="&amp;'Configuración'!$C$8)-SUMIFS(tOperaciones[Importe],tOperaciones[Producto],B87,tOperaciones[Tipo],"Venta",tOperaciones[Fecha],"&gt;="&amp;F87,tOperaciones[Fecha],"&lt;="&amp;'Configuración'!$C$8))</f>
        <v/>
      </c>
      <c r="K87" s="14" t="str">
        <f>IF(OR(B87="",COUNT(I87)=0),"",IF(I87=0,0,IF(COUNTIFS(tPrecios[Producto],B87,tPrecios[Fecha],"&lt;="&amp;'Configuración'!$C$8)=0,"",I87*SUMIFS(tPrecios[VL EUR],tPrecios[Producto],B87,tPrecios[Fecha],MAXIFS(tPrecios[Fecha],tPrecios[Producto],B87,tPrecios[Fecha],"&lt;="&amp;'Configuración'!$C$8)))))</f>
        <v/>
      </c>
      <c r="L87" s="14" t="str">
        <f>IF(OR(B87="",COUNT(K87)=0),"",K87-J87+SUMIFS(tOperaciones[Importe],tOperaciones[Producto],B87,tOperaciones[Tipo],"Cobro",tOperaciones[Fecha],"&gt;="&amp;F87,tOperaciones[Fecha],"&lt;="&amp;'Configuración'!$C$8))</f>
        <v/>
      </c>
      <c r="M87" s="45" t="str">
        <f>IF(OR(B87="",COUNT(L87)=0,H87+SUMIFS(tOperaciones[Importe],tOperaciones[Producto],B87,tOperaciones[Tipo],"Compra",tOperaciones[Fecha],"&lt;="&amp;'Configuración'!$C$8)=0),"",L87/(H87+SUMIFS(tOperaciones[Importe],tOperaciones[Producto],B87,tOperaciones[Tipo],"Compra",tOperaciones[Fecha],"&lt;="&amp;'Configuración'!$C$8)))</f>
        <v/>
      </c>
      <c r="N87" s="45" t="str">
        <f>IF(OR(B87="",COUNT(K87)=0,COUNT(tProductos[Valor])&lt;&gt;COUNTA(tProductos[ID]),SUM(tProductos[Valor])=0),"",K87/SUM(tProductos[Valor]))</f>
        <v/>
      </c>
    </row>
    <row r="88" ht="27.75" customHeight="1">
      <c r="A88" s="1"/>
      <c r="B88" s="10"/>
      <c r="C88" s="10"/>
      <c r="D88" s="10"/>
      <c r="E88" s="10"/>
      <c r="F88" s="11"/>
      <c r="G88" s="43"/>
      <c r="H88" s="13"/>
      <c r="I88" s="44" t="str">
        <f>IF(OR(B88="",'Configuración'!$C$8&lt;F88),"",G88+SUMIFS(tOperaciones[Participaciones],tOperaciones[Producto],B88,tOperaciones[Tipo],"Compra",tOperaciones[Fecha],"&gt;="&amp;F88,tOperaciones[Fecha],"&lt;="&amp;'Configuración'!$C$8)-SUMIFS(tOperaciones[Participaciones],tOperaciones[Producto],B88,tOperaciones[Tipo],"Venta",tOperaciones[Fecha],"&gt;="&amp;F88,tOperaciones[Fecha],"&lt;="&amp;'Configuración'!$C$8))</f>
        <v/>
      </c>
      <c r="J88" s="14" t="str">
        <f>IF(OR(B88="",'Configuración'!$C$8&lt;F88),"",H88+SUMIFS(tOperaciones[Importe],tOperaciones[Producto],B88,tOperaciones[Tipo],"Compra",tOperaciones[Fecha],"&gt;="&amp;F88,tOperaciones[Fecha],"&lt;="&amp;'Configuración'!$C$8)-SUMIFS(tOperaciones[Importe],tOperaciones[Producto],B88,tOperaciones[Tipo],"Venta",tOperaciones[Fecha],"&gt;="&amp;F88,tOperaciones[Fecha],"&lt;="&amp;'Configuración'!$C$8))</f>
        <v/>
      </c>
      <c r="K88" s="14" t="str">
        <f>IF(OR(B88="",COUNT(I88)=0),"",IF(I88=0,0,IF(COUNTIFS(tPrecios[Producto],B88,tPrecios[Fecha],"&lt;="&amp;'Configuración'!$C$8)=0,"",I88*SUMIFS(tPrecios[VL EUR],tPrecios[Producto],B88,tPrecios[Fecha],MAXIFS(tPrecios[Fecha],tPrecios[Producto],B88,tPrecios[Fecha],"&lt;="&amp;'Configuración'!$C$8)))))</f>
        <v/>
      </c>
      <c r="L88" s="14" t="str">
        <f>IF(OR(B88="",COUNT(K88)=0),"",K88-J88+SUMIFS(tOperaciones[Importe],tOperaciones[Producto],B88,tOperaciones[Tipo],"Cobro",tOperaciones[Fecha],"&gt;="&amp;F88,tOperaciones[Fecha],"&lt;="&amp;'Configuración'!$C$8))</f>
        <v/>
      </c>
      <c r="M88" s="45" t="str">
        <f>IF(OR(B88="",COUNT(L88)=0,H88+SUMIFS(tOperaciones[Importe],tOperaciones[Producto],B88,tOperaciones[Tipo],"Compra",tOperaciones[Fecha],"&lt;="&amp;'Configuración'!$C$8)=0),"",L88/(H88+SUMIFS(tOperaciones[Importe],tOperaciones[Producto],B88,tOperaciones[Tipo],"Compra",tOperaciones[Fecha],"&lt;="&amp;'Configuración'!$C$8)))</f>
        <v/>
      </c>
      <c r="N88" s="45" t="str">
        <f>IF(OR(B88="",COUNT(K88)=0,COUNT(tProductos[Valor])&lt;&gt;COUNTA(tProductos[ID]),SUM(tProductos[Valor])=0),"",K88/SUM(tProductos[Valor]))</f>
        <v/>
      </c>
    </row>
    <row r="89" ht="27.75" customHeight="1">
      <c r="A89" s="1"/>
      <c r="B89" s="10"/>
      <c r="C89" s="10"/>
      <c r="D89" s="10"/>
      <c r="E89" s="10"/>
      <c r="F89" s="11"/>
      <c r="G89" s="43"/>
      <c r="H89" s="13"/>
      <c r="I89" s="44" t="str">
        <f>IF(OR(B89="",'Configuración'!$C$8&lt;F89),"",G89+SUMIFS(tOperaciones[Participaciones],tOperaciones[Producto],B89,tOperaciones[Tipo],"Compra",tOperaciones[Fecha],"&gt;="&amp;F89,tOperaciones[Fecha],"&lt;="&amp;'Configuración'!$C$8)-SUMIFS(tOperaciones[Participaciones],tOperaciones[Producto],B89,tOperaciones[Tipo],"Venta",tOperaciones[Fecha],"&gt;="&amp;F89,tOperaciones[Fecha],"&lt;="&amp;'Configuración'!$C$8))</f>
        <v/>
      </c>
      <c r="J89" s="14" t="str">
        <f>IF(OR(B89="",'Configuración'!$C$8&lt;F89),"",H89+SUMIFS(tOperaciones[Importe],tOperaciones[Producto],B89,tOperaciones[Tipo],"Compra",tOperaciones[Fecha],"&gt;="&amp;F89,tOperaciones[Fecha],"&lt;="&amp;'Configuración'!$C$8)-SUMIFS(tOperaciones[Importe],tOperaciones[Producto],B89,tOperaciones[Tipo],"Venta",tOperaciones[Fecha],"&gt;="&amp;F89,tOperaciones[Fecha],"&lt;="&amp;'Configuración'!$C$8))</f>
        <v/>
      </c>
      <c r="K89" s="14" t="str">
        <f>IF(OR(B89="",COUNT(I89)=0),"",IF(I89=0,0,IF(COUNTIFS(tPrecios[Producto],B89,tPrecios[Fecha],"&lt;="&amp;'Configuración'!$C$8)=0,"",I89*SUMIFS(tPrecios[VL EUR],tPrecios[Producto],B89,tPrecios[Fecha],MAXIFS(tPrecios[Fecha],tPrecios[Producto],B89,tPrecios[Fecha],"&lt;="&amp;'Configuración'!$C$8)))))</f>
        <v/>
      </c>
      <c r="L89" s="14" t="str">
        <f>IF(OR(B89="",COUNT(K89)=0),"",K89-J89+SUMIFS(tOperaciones[Importe],tOperaciones[Producto],B89,tOperaciones[Tipo],"Cobro",tOperaciones[Fecha],"&gt;="&amp;F89,tOperaciones[Fecha],"&lt;="&amp;'Configuración'!$C$8))</f>
        <v/>
      </c>
      <c r="M89" s="45" t="str">
        <f>IF(OR(B89="",COUNT(L89)=0,H89+SUMIFS(tOperaciones[Importe],tOperaciones[Producto],B89,tOperaciones[Tipo],"Compra",tOperaciones[Fecha],"&lt;="&amp;'Configuración'!$C$8)=0),"",L89/(H89+SUMIFS(tOperaciones[Importe],tOperaciones[Producto],B89,tOperaciones[Tipo],"Compra",tOperaciones[Fecha],"&lt;="&amp;'Configuración'!$C$8)))</f>
        <v/>
      </c>
      <c r="N89" s="45" t="str">
        <f>IF(OR(B89="",COUNT(K89)=0,COUNT(tProductos[Valor])&lt;&gt;COUNTA(tProductos[ID]),SUM(tProductos[Valor])=0),"",K89/SUM(tProductos[Valor]))</f>
        <v/>
      </c>
    </row>
    <row r="90" ht="27.75" customHeight="1">
      <c r="A90" s="1"/>
      <c r="B90" s="10"/>
      <c r="C90" s="10"/>
      <c r="D90" s="10"/>
      <c r="E90" s="10"/>
      <c r="F90" s="11"/>
      <c r="G90" s="43"/>
      <c r="H90" s="13"/>
      <c r="I90" s="44" t="str">
        <f>IF(OR(B90="",'Configuración'!$C$8&lt;F90),"",G90+SUMIFS(tOperaciones[Participaciones],tOperaciones[Producto],B90,tOperaciones[Tipo],"Compra",tOperaciones[Fecha],"&gt;="&amp;F90,tOperaciones[Fecha],"&lt;="&amp;'Configuración'!$C$8)-SUMIFS(tOperaciones[Participaciones],tOperaciones[Producto],B90,tOperaciones[Tipo],"Venta",tOperaciones[Fecha],"&gt;="&amp;F90,tOperaciones[Fecha],"&lt;="&amp;'Configuración'!$C$8))</f>
        <v/>
      </c>
      <c r="J90" s="14" t="str">
        <f>IF(OR(B90="",'Configuración'!$C$8&lt;F90),"",H90+SUMIFS(tOperaciones[Importe],tOperaciones[Producto],B90,tOperaciones[Tipo],"Compra",tOperaciones[Fecha],"&gt;="&amp;F90,tOperaciones[Fecha],"&lt;="&amp;'Configuración'!$C$8)-SUMIFS(tOperaciones[Importe],tOperaciones[Producto],B90,tOperaciones[Tipo],"Venta",tOperaciones[Fecha],"&gt;="&amp;F90,tOperaciones[Fecha],"&lt;="&amp;'Configuración'!$C$8))</f>
        <v/>
      </c>
      <c r="K90" s="14" t="str">
        <f>IF(OR(B90="",COUNT(I90)=0),"",IF(I90=0,0,IF(COUNTIFS(tPrecios[Producto],B90,tPrecios[Fecha],"&lt;="&amp;'Configuración'!$C$8)=0,"",I90*SUMIFS(tPrecios[VL EUR],tPrecios[Producto],B90,tPrecios[Fecha],MAXIFS(tPrecios[Fecha],tPrecios[Producto],B90,tPrecios[Fecha],"&lt;="&amp;'Configuración'!$C$8)))))</f>
        <v/>
      </c>
      <c r="L90" s="14" t="str">
        <f>IF(OR(B90="",COUNT(K90)=0),"",K90-J90+SUMIFS(tOperaciones[Importe],tOperaciones[Producto],B90,tOperaciones[Tipo],"Cobro",tOperaciones[Fecha],"&gt;="&amp;F90,tOperaciones[Fecha],"&lt;="&amp;'Configuración'!$C$8))</f>
        <v/>
      </c>
      <c r="M90" s="45" t="str">
        <f>IF(OR(B90="",COUNT(L90)=0,H90+SUMIFS(tOperaciones[Importe],tOperaciones[Producto],B90,tOperaciones[Tipo],"Compra",tOperaciones[Fecha],"&lt;="&amp;'Configuración'!$C$8)=0),"",L90/(H90+SUMIFS(tOperaciones[Importe],tOperaciones[Producto],B90,tOperaciones[Tipo],"Compra",tOperaciones[Fecha],"&lt;="&amp;'Configuración'!$C$8)))</f>
        <v/>
      </c>
      <c r="N90" s="45" t="str">
        <f>IF(OR(B90="",COUNT(K90)=0,COUNT(tProductos[Valor])&lt;&gt;COUNTA(tProductos[ID]),SUM(tProductos[Valor])=0),"",K90/SUM(tProductos[Valor]))</f>
        <v/>
      </c>
    </row>
    <row r="91" ht="27.75" customHeight="1">
      <c r="A91" s="1"/>
      <c r="B91" s="10"/>
      <c r="C91" s="10"/>
      <c r="D91" s="10"/>
      <c r="E91" s="10"/>
      <c r="F91" s="11"/>
      <c r="G91" s="43"/>
      <c r="H91" s="13"/>
      <c r="I91" s="44" t="str">
        <f>IF(OR(B91="",'Configuración'!$C$8&lt;F91),"",G91+SUMIFS(tOperaciones[Participaciones],tOperaciones[Producto],B91,tOperaciones[Tipo],"Compra",tOperaciones[Fecha],"&gt;="&amp;F91,tOperaciones[Fecha],"&lt;="&amp;'Configuración'!$C$8)-SUMIFS(tOperaciones[Participaciones],tOperaciones[Producto],B91,tOperaciones[Tipo],"Venta",tOperaciones[Fecha],"&gt;="&amp;F91,tOperaciones[Fecha],"&lt;="&amp;'Configuración'!$C$8))</f>
        <v/>
      </c>
      <c r="J91" s="14" t="str">
        <f>IF(OR(B91="",'Configuración'!$C$8&lt;F91),"",H91+SUMIFS(tOperaciones[Importe],tOperaciones[Producto],B91,tOperaciones[Tipo],"Compra",tOperaciones[Fecha],"&gt;="&amp;F91,tOperaciones[Fecha],"&lt;="&amp;'Configuración'!$C$8)-SUMIFS(tOperaciones[Importe],tOperaciones[Producto],B91,tOperaciones[Tipo],"Venta",tOperaciones[Fecha],"&gt;="&amp;F91,tOperaciones[Fecha],"&lt;="&amp;'Configuración'!$C$8))</f>
        <v/>
      </c>
      <c r="K91" s="14" t="str">
        <f>IF(OR(B91="",COUNT(I91)=0),"",IF(I91=0,0,IF(COUNTIFS(tPrecios[Producto],B91,tPrecios[Fecha],"&lt;="&amp;'Configuración'!$C$8)=0,"",I91*SUMIFS(tPrecios[VL EUR],tPrecios[Producto],B91,tPrecios[Fecha],MAXIFS(tPrecios[Fecha],tPrecios[Producto],B91,tPrecios[Fecha],"&lt;="&amp;'Configuración'!$C$8)))))</f>
        <v/>
      </c>
      <c r="L91" s="14" t="str">
        <f>IF(OR(B91="",COUNT(K91)=0),"",K91-J91+SUMIFS(tOperaciones[Importe],tOperaciones[Producto],B91,tOperaciones[Tipo],"Cobro",tOperaciones[Fecha],"&gt;="&amp;F91,tOperaciones[Fecha],"&lt;="&amp;'Configuración'!$C$8))</f>
        <v/>
      </c>
      <c r="M91" s="45" t="str">
        <f>IF(OR(B91="",COUNT(L91)=0,H91+SUMIFS(tOperaciones[Importe],tOperaciones[Producto],B91,tOperaciones[Tipo],"Compra",tOperaciones[Fecha],"&lt;="&amp;'Configuración'!$C$8)=0),"",L91/(H91+SUMIFS(tOperaciones[Importe],tOperaciones[Producto],B91,tOperaciones[Tipo],"Compra",tOperaciones[Fecha],"&lt;="&amp;'Configuración'!$C$8)))</f>
        <v/>
      </c>
      <c r="N91" s="45" t="str">
        <f>IF(OR(B91="",COUNT(K91)=0,COUNT(tProductos[Valor])&lt;&gt;COUNTA(tProductos[ID]),SUM(tProductos[Valor])=0),"",K91/SUM(tProductos[Valor]))</f>
        <v/>
      </c>
    </row>
    <row r="92" ht="27.75" customHeight="1">
      <c r="A92" s="1"/>
      <c r="B92" s="10"/>
      <c r="C92" s="10"/>
      <c r="D92" s="10"/>
      <c r="E92" s="10"/>
      <c r="F92" s="11"/>
      <c r="G92" s="43"/>
      <c r="H92" s="13"/>
      <c r="I92" s="44" t="str">
        <f>IF(OR(B92="",'Configuración'!$C$8&lt;F92),"",G92+SUMIFS(tOperaciones[Participaciones],tOperaciones[Producto],B92,tOperaciones[Tipo],"Compra",tOperaciones[Fecha],"&gt;="&amp;F92,tOperaciones[Fecha],"&lt;="&amp;'Configuración'!$C$8)-SUMIFS(tOperaciones[Participaciones],tOperaciones[Producto],B92,tOperaciones[Tipo],"Venta",tOperaciones[Fecha],"&gt;="&amp;F92,tOperaciones[Fecha],"&lt;="&amp;'Configuración'!$C$8))</f>
        <v/>
      </c>
      <c r="J92" s="14" t="str">
        <f>IF(OR(B92="",'Configuración'!$C$8&lt;F92),"",H92+SUMIFS(tOperaciones[Importe],tOperaciones[Producto],B92,tOperaciones[Tipo],"Compra",tOperaciones[Fecha],"&gt;="&amp;F92,tOperaciones[Fecha],"&lt;="&amp;'Configuración'!$C$8)-SUMIFS(tOperaciones[Importe],tOperaciones[Producto],B92,tOperaciones[Tipo],"Venta",tOperaciones[Fecha],"&gt;="&amp;F92,tOperaciones[Fecha],"&lt;="&amp;'Configuración'!$C$8))</f>
        <v/>
      </c>
      <c r="K92" s="14" t="str">
        <f>IF(OR(B92="",COUNT(I92)=0),"",IF(I92=0,0,IF(COUNTIFS(tPrecios[Producto],B92,tPrecios[Fecha],"&lt;="&amp;'Configuración'!$C$8)=0,"",I92*SUMIFS(tPrecios[VL EUR],tPrecios[Producto],B92,tPrecios[Fecha],MAXIFS(tPrecios[Fecha],tPrecios[Producto],B92,tPrecios[Fecha],"&lt;="&amp;'Configuración'!$C$8)))))</f>
        <v/>
      </c>
      <c r="L92" s="14" t="str">
        <f>IF(OR(B92="",COUNT(K92)=0),"",K92-J92+SUMIFS(tOperaciones[Importe],tOperaciones[Producto],B92,tOperaciones[Tipo],"Cobro",tOperaciones[Fecha],"&gt;="&amp;F92,tOperaciones[Fecha],"&lt;="&amp;'Configuración'!$C$8))</f>
        <v/>
      </c>
      <c r="M92" s="45" t="str">
        <f>IF(OR(B92="",COUNT(L92)=0,H92+SUMIFS(tOperaciones[Importe],tOperaciones[Producto],B92,tOperaciones[Tipo],"Compra",tOperaciones[Fecha],"&lt;="&amp;'Configuración'!$C$8)=0),"",L92/(H92+SUMIFS(tOperaciones[Importe],tOperaciones[Producto],B92,tOperaciones[Tipo],"Compra",tOperaciones[Fecha],"&lt;="&amp;'Configuración'!$C$8)))</f>
        <v/>
      </c>
      <c r="N92" s="45" t="str">
        <f>IF(OR(B92="",COUNT(K92)=0,COUNT(tProductos[Valor])&lt;&gt;COUNTA(tProductos[ID]),SUM(tProductos[Valor])=0),"",K92/SUM(tProductos[Valor]))</f>
        <v/>
      </c>
    </row>
    <row r="93" ht="27.75" customHeight="1">
      <c r="A93" s="1"/>
      <c r="B93" s="10"/>
      <c r="C93" s="10"/>
      <c r="D93" s="10"/>
      <c r="E93" s="10"/>
      <c r="F93" s="11"/>
      <c r="G93" s="43"/>
      <c r="H93" s="13"/>
      <c r="I93" s="44" t="str">
        <f>IF(OR(B93="",'Configuración'!$C$8&lt;F93),"",G93+SUMIFS(tOperaciones[Participaciones],tOperaciones[Producto],B93,tOperaciones[Tipo],"Compra",tOperaciones[Fecha],"&gt;="&amp;F93,tOperaciones[Fecha],"&lt;="&amp;'Configuración'!$C$8)-SUMIFS(tOperaciones[Participaciones],tOperaciones[Producto],B93,tOperaciones[Tipo],"Venta",tOperaciones[Fecha],"&gt;="&amp;F93,tOperaciones[Fecha],"&lt;="&amp;'Configuración'!$C$8))</f>
        <v/>
      </c>
      <c r="J93" s="14" t="str">
        <f>IF(OR(B93="",'Configuración'!$C$8&lt;F93),"",H93+SUMIFS(tOperaciones[Importe],tOperaciones[Producto],B93,tOperaciones[Tipo],"Compra",tOperaciones[Fecha],"&gt;="&amp;F93,tOperaciones[Fecha],"&lt;="&amp;'Configuración'!$C$8)-SUMIFS(tOperaciones[Importe],tOperaciones[Producto],B93,tOperaciones[Tipo],"Venta",tOperaciones[Fecha],"&gt;="&amp;F93,tOperaciones[Fecha],"&lt;="&amp;'Configuración'!$C$8))</f>
        <v/>
      </c>
      <c r="K93" s="14" t="str">
        <f>IF(OR(B93="",COUNT(I93)=0),"",IF(I93=0,0,IF(COUNTIFS(tPrecios[Producto],B93,tPrecios[Fecha],"&lt;="&amp;'Configuración'!$C$8)=0,"",I93*SUMIFS(tPrecios[VL EUR],tPrecios[Producto],B93,tPrecios[Fecha],MAXIFS(tPrecios[Fecha],tPrecios[Producto],B93,tPrecios[Fecha],"&lt;="&amp;'Configuración'!$C$8)))))</f>
        <v/>
      </c>
      <c r="L93" s="14" t="str">
        <f>IF(OR(B93="",COUNT(K93)=0),"",K93-J93+SUMIFS(tOperaciones[Importe],tOperaciones[Producto],B93,tOperaciones[Tipo],"Cobro",tOperaciones[Fecha],"&gt;="&amp;F93,tOperaciones[Fecha],"&lt;="&amp;'Configuración'!$C$8))</f>
        <v/>
      </c>
      <c r="M93" s="45" t="str">
        <f>IF(OR(B93="",COUNT(L93)=0,H93+SUMIFS(tOperaciones[Importe],tOperaciones[Producto],B93,tOperaciones[Tipo],"Compra",tOperaciones[Fecha],"&lt;="&amp;'Configuración'!$C$8)=0),"",L93/(H93+SUMIFS(tOperaciones[Importe],tOperaciones[Producto],B93,tOperaciones[Tipo],"Compra",tOperaciones[Fecha],"&lt;="&amp;'Configuración'!$C$8)))</f>
        <v/>
      </c>
      <c r="N93" s="45" t="str">
        <f>IF(OR(B93="",COUNT(K93)=0,COUNT(tProductos[Valor])&lt;&gt;COUNTA(tProductos[ID]),SUM(tProductos[Valor])=0),"",K93/SUM(tProductos[Valor]))</f>
        <v/>
      </c>
    </row>
    <row r="94" ht="27.75" customHeight="1">
      <c r="A94" s="1"/>
      <c r="B94" s="10"/>
      <c r="C94" s="10"/>
      <c r="D94" s="10"/>
      <c r="E94" s="10"/>
      <c r="F94" s="11"/>
      <c r="G94" s="43"/>
      <c r="H94" s="13"/>
      <c r="I94" s="44" t="str">
        <f>IF(OR(B94="",'Configuración'!$C$8&lt;F94),"",G94+SUMIFS(tOperaciones[Participaciones],tOperaciones[Producto],B94,tOperaciones[Tipo],"Compra",tOperaciones[Fecha],"&gt;="&amp;F94,tOperaciones[Fecha],"&lt;="&amp;'Configuración'!$C$8)-SUMIFS(tOperaciones[Participaciones],tOperaciones[Producto],B94,tOperaciones[Tipo],"Venta",tOperaciones[Fecha],"&gt;="&amp;F94,tOperaciones[Fecha],"&lt;="&amp;'Configuración'!$C$8))</f>
        <v/>
      </c>
      <c r="J94" s="14" t="str">
        <f>IF(OR(B94="",'Configuración'!$C$8&lt;F94),"",H94+SUMIFS(tOperaciones[Importe],tOperaciones[Producto],B94,tOperaciones[Tipo],"Compra",tOperaciones[Fecha],"&gt;="&amp;F94,tOperaciones[Fecha],"&lt;="&amp;'Configuración'!$C$8)-SUMIFS(tOperaciones[Importe],tOperaciones[Producto],B94,tOperaciones[Tipo],"Venta",tOperaciones[Fecha],"&gt;="&amp;F94,tOperaciones[Fecha],"&lt;="&amp;'Configuración'!$C$8))</f>
        <v/>
      </c>
      <c r="K94" s="14" t="str">
        <f>IF(OR(B94="",COUNT(I94)=0),"",IF(I94=0,0,IF(COUNTIFS(tPrecios[Producto],B94,tPrecios[Fecha],"&lt;="&amp;'Configuración'!$C$8)=0,"",I94*SUMIFS(tPrecios[VL EUR],tPrecios[Producto],B94,tPrecios[Fecha],MAXIFS(tPrecios[Fecha],tPrecios[Producto],B94,tPrecios[Fecha],"&lt;="&amp;'Configuración'!$C$8)))))</f>
        <v/>
      </c>
      <c r="L94" s="14" t="str">
        <f>IF(OR(B94="",COUNT(K94)=0),"",K94-J94+SUMIFS(tOperaciones[Importe],tOperaciones[Producto],B94,tOperaciones[Tipo],"Cobro",tOperaciones[Fecha],"&gt;="&amp;F94,tOperaciones[Fecha],"&lt;="&amp;'Configuración'!$C$8))</f>
        <v/>
      </c>
      <c r="M94" s="45" t="str">
        <f>IF(OR(B94="",COUNT(L94)=0,H94+SUMIFS(tOperaciones[Importe],tOperaciones[Producto],B94,tOperaciones[Tipo],"Compra",tOperaciones[Fecha],"&lt;="&amp;'Configuración'!$C$8)=0),"",L94/(H94+SUMIFS(tOperaciones[Importe],tOperaciones[Producto],B94,tOperaciones[Tipo],"Compra",tOperaciones[Fecha],"&lt;="&amp;'Configuración'!$C$8)))</f>
        <v/>
      </c>
      <c r="N94" s="45" t="str">
        <f>IF(OR(B94="",COUNT(K94)=0,COUNT(tProductos[Valor])&lt;&gt;COUNTA(tProductos[ID]),SUM(tProductos[Valor])=0),"",K94/SUM(tProductos[Valor]))</f>
        <v/>
      </c>
    </row>
    <row r="95" ht="27.75" customHeight="1">
      <c r="A95" s="1"/>
      <c r="B95" s="10"/>
      <c r="C95" s="10"/>
      <c r="D95" s="10"/>
      <c r="E95" s="10"/>
      <c r="F95" s="11"/>
      <c r="G95" s="43"/>
      <c r="H95" s="13"/>
      <c r="I95" s="44" t="str">
        <f>IF(OR(B95="",'Configuración'!$C$8&lt;F95),"",G95+SUMIFS(tOperaciones[Participaciones],tOperaciones[Producto],B95,tOperaciones[Tipo],"Compra",tOperaciones[Fecha],"&gt;="&amp;F95,tOperaciones[Fecha],"&lt;="&amp;'Configuración'!$C$8)-SUMIFS(tOperaciones[Participaciones],tOperaciones[Producto],B95,tOperaciones[Tipo],"Venta",tOperaciones[Fecha],"&gt;="&amp;F95,tOperaciones[Fecha],"&lt;="&amp;'Configuración'!$C$8))</f>
        <v/>
      </c>
      <c r="J95" s="14" t="str">
        <f>IF(OR(B95="",'Configuración'!$C$8&lt;F95),"",H95+SUMIFS(tOperaciones[Importe],tOperaciones[Producto],B95,tOperaciones[Tipo],"Compra",tOperaciones[Fecha],"&gt;="&amp;F95,tOperaciones[Fecha],"&lt;="&amp;'Configuración'!$C$8)-SUMIFS(tOperaciones[Importe],tOperaciones[Producto],B95,tOperaciones[Tipo],"Venta",tOperaciones[Fecha],"&gt;="&amp;F95,tOperaciones[Fecha],"&lt;="&amp;'Configuración'!$C$8))</f>
        <v/>
      </c>
      <c r="K95" s="14" t="str">
        <f>IF(OR(B95="",COUNT(I95)=0),"",IF(I95=0,0,IF(COUNTIFS(tPrecios[Producto],B95,tPrecios[Fecha],"&lt;="&amp;'Configuración'!$C$8)=0,"",I95*SUMIFS(tPrecios[VL EUR],tPrecios[Producto],B95,tPrecios[Fecha],MAXIFS(tPrecios[Fecha],tPrecios[Producto],B95,tPrecios[Fecha],"&lt;="&amp;'Configuración'!$C$8)))))</f>
        <v/>
      </c>
      <c r="L95" s="14" t="str">
        <f>IF(OR(B95="",COUNT(K95)=0),"",K95-J95+SUMIFS(tOperaciones[Importe],tOperaciones[Producto],B95,tOperaciones[Tipo],"Cobro",tOperaciones[Fecha],"&gt;="&amp;F95,tOperaciones[Fecha],"&lt;="&amp;'Configuración'!$C$8))</f>
        <v/>
      </c>
      <c r="M95" s="45" t="str">
        <f>IF(OR(B95="",COUNT(L95)=0,H95+SUMIFS(tOperaciones[Importe],tOperaciones[Producto],B95,tOperaciones[Tipo],"Compra",tOperaciones[Fecha],"&lt;="&amp;'Configuración'!$C$8)=0),"",L95/(H95+SUMIFS(tOperaciones[Importe],tOperaciones[Producto],B95,tOperaciones[Tipo],"Compra",tOperaciones[Fecha],"&lt;="&amp;'Configuración'!$C$8)))</f>
        <v/>
      </c>
      <c r="N95" s="45" t="str">
        <f>IF(OR(B95="",COUNT(K95)=0,COUNT(tProductos[Valor])&lt;&gt;COUNTA(tProductos[ID]),SUM(tProductos[Valor])=0),"",K95/SUM(tProductos[Valor]))</f>
        <v/>
      </c>
    </row>
    <row r="96" ht="27.75" customHeight="1">
      <c r="A96" s="1"/>
      <c r="B96" s="10"/>
      <c r="C96" s="10"/>
      <c r="D96" s="10"/>
      <c r="E96" s="10"/>
      <c r="F96" s="11"/>
      <c r="G96" s="43"/>
      <c r="H96" s="13"/>
      <c r="I96" s="44" t="str">
        <f>IF(OR(B96="",'Configuración'!$C$8&lt;F96),"",G96+SUMIFS(tOperaciones[Participaciones],tOperaciones[Producto],B96,tOperaciones[Tipo],"Compra",tOperaciones[Fecha],"&gt;="&amp;F96,tOperaciones[Fecha],"&lt;="&amp;'Configuración'!$C$8)-SUMIFS(tOperaciones[Participaciones],tOperaciones[Producto],B96,tOperaciones[Tipo],"Venta",tOperaciones[Fecha],"&gt;="&amp;F96,tOperaciones[Fecha],"&lt;="&amp;'Configuración'!$C$8))</f>
        <v/>
      </c>
      <c r="J96" s="14" t="str">
        <f>IF(OR(B96="",'Configuración'!$C$8&lt;F96),"",H96+SUMIFS(tOperaciones[Importe],tOperaciones[Producto],B96,tOperaciones[Tipo],"Compra",tOperaciones[Fecha],"&gt;="&amp;F96,tOperaciones[Fecha],"&lt;="&amp;'Configuración'!$C$8)-SUMIFS(tOperaciones[Importe],tOperaciones[Producto],B96,tOperaciones[Tipo],"Venta",tOperaciones[Fecha],"&gt;="&amp;F96,tOperaciones[Fecha],"&lt;="&amp;'Configuración'!$C$8))</f>
        <v/>
      </c>
      <c r="K96" s="14" t="str">
        <f>IF(OR(B96="",COUNT(I96)=0),"",IF(I96=0,0,IF(COUNTIFS(tPrecios[Producto],B96,tPrecios[Fecha],"&lt;="&amp;'Configuración'!$C$8)=0,"",I96*SUMIFS(tPrecios[VL EUR],tPrecios[Producto],B96,tPrecios[Fecha],MAXIFS(tPrecios[Fecha],tPrecios[Producto],B96,tPrecios[Fecha],"&lt;="&amp;'Configuración'!$C$8)))))</f>
        <v/>
      </c>
      <c r="L96" s="14" t="str">
        <f>IF(OR(B96="",COUNT(K96)=0),"",K96-J96+SUMIFS(tOperaciones[Importe],tOperaciones[Producto],B96,tOperaciones[Tipo],"Cobro",tOperaciones[Fecha],"&gt;="&amp;F96,tOperaciones[Fecha],"&lt;="&amp;'Configuración'!$C$8))</f>
        <v/>
      </c>
      <c r="M96" s="45" t="str">
        <f>IF(OR(B96="",COUNT(L96)=0,H96+SUMIFS(tOperaciones[Importe],tOperaciones[Producto],B96,tOperaciones[Tipo],"Compra",tOperaciones[Fecha],"&lt;="&amp;'Configuración'!$C$8)=0),"",L96/(H96+SUMIFS(tOperaciones[Importe],tOperaciones[Producto],B96,tOperaciones[Tipo],"Compra",tOperaciones[Fecha],"&lt;="&amp;'Configuración'!$C$8)))</f>
        <v/>
      </c>
      <c r="N96" s="45" t="str">
        <f>IF(OR(B96="",COUNT(K96)=0,COUNT(tProductos[Valor])&lt;&gt;COUNTA(tProductos[ID]),SUM(tProductos[Valor])=0),"",K96/SUM(tProductos[Valor]))</f>
        <v/>
      </c>
    </row>
    <row r="97" ht="27.75" customHeight="1">
      <c r="A97" s="1"/>
      <c r="B97" s="10"/>
      <c r="C97" s="10"/>
      <c r="D97" s="10"/>
      <c r="E97" s="10"/>
      <c r="F97" s="11"/>
      <c r="G97" s="43"/>
      <c r="H97" s="13"/>
      <c r="I97" s="44" t="str">
        <f>IF(OR(B97="",'Configuración'!$C$8&lt;F97),"",G97+SUMIFS(tOperaciones[Participaciones],tOperaciones[Producto],B97,tOperaciones[Tipo],"Compra",tOperaciones[Fecha],"&gt;="&amp;F97,tOperaciones[Fecha],"&lt;="&amp;'Configuración'!$C$8)-SUMIFS(tOperaciones[Participaciones],tOperaciones[Producto],B97,tOperaciones[Tipo],"Venta",tOperaciones[Fecha],"&gt;="&amp;F97,tOperaciones[Fecha],"&lt;="&amp;'Configuración'!$C$8))</f>
        <v/>
      </c>
      <c r="J97" s="14" t="str">
        <f>IF(OR(B97="",'Configuración'!$C$8&lt;F97),"",H97+SUMIFS(tOperaciones[Importe],tOperaciones[Producto],B97,tOperaciones[Tipo],"Compra",tOperaciones[Fecha],"&gt;="&amp;F97,tOperaciones[Fecha],"&lt;="&amp;'Configuración'!$C$8)-SUMIFS(tOperaciones[Importe],tOperaciones[Producto],B97,tOperaciones[Tipo],"Venta",tOperaciones[Fecha],"&gt;="&amp;F97,tOperaciones[Fecha],"&lt;="&amp;'Configuración'!$C$8))</f>
        <v/>
      </c>
      <c r="K97" s="14" t="str">
        <f>IF(OR(B97="",COUNT(I97)=0),"",IF(I97=0,0,IF(COUNTIFS(tPrecios[Producto],B97,tPrecios[Fecha],"&lt;="&amp;'Configuración'!$C$8)=0,"",I97*SUMIFS(tPrecios[VL EUR],tPrecios[Producto],B97,tPrecios[Fecha],MAXIFS(tPrecios[Fecha],tPrecios[Producto],B97,tPrecios[Fecha],"&lt;="&amp;'Configuración'!$C$8)))))</f>
        <v/>
      </c>
      <c r="L97" s="14" t="str">
        <f>IF(OR(B97="",COUNT(K97)=0),"",K97-J97+SUMIFS(tOperaciones[Importe],tOperaciones[Producto],B97,tOperaciones[Tipo],"Cobro",tOperaciones[Fecha],"&gt;="&amp;F97,tOperaciones[Fecha],"&lt;="&amp;'Configuración'!$C$8))</f>
        <v/>
      </c>
      <c r="M97" s="45" t="str">
        <f>IF(OR(B97="",COUNT(L97)=0,H97+SUMIFS(tOperaciones[Importe],tOperaciones[Producto],B97,tOperaciones[Tipo],"Compra",tOperaciones[Fecha],"&lt;="&amp;'Configuración'!$C$8)=0),"",L97/(H97+SUMIFS(tOperaciones[Importe],tOperaciones[Producto],B97,tOperaciones[Tipo],"Compra",tOperaciones[Fecha],"&lt;="&amp;'Configuración'!$C$8)))</f>
        <v/>
      </c>
      <c r="N97" s="45" t="str">
        <f>IF(OR(B97="",COUNT(K97)=0,COUNT(tProductos[Valor])&lt;&gt;COUNTA(tProductos[ID]),SUM(tProductos[Valor])=0),"",K97/SUM(tProductos[Valor]))</f>
        <v/>
      </c>
    </row>
    <row r="98" ht="27.75" customHeight="1">
      <c r="A98" s="1"/>
      <c r="B98" s="10"/>
      <c r="C98" s="10"/>
      <c r="D98" s="10"/>
      <c r="E98" s="10"/>
      <c r="F98" s="11"/>
      <c r="G98" s="43"/>
      <c r="H98" s="13"/>
      <c r="I98" s="44" t="str">
        <f>IF(OR(B98="",'Configuración'!$C$8&lt;F98),"",G98+SUMIFS(tOperaciones[Participaciones],tOperaciones[Producto],B98,tOperaciones[Tipo],"Compra",tOperaciones[Fecha],"&gt;="&amp;F98,tOperaciones[Fecha],"&lt;="&amp;'Configuración'!$C$8)-SUMIFS(tOperaciones[Participaciones],tOperaciones[Producto],B98,tOperaciones[Tipo],"Venta",tOperaciones[Fecha],"&gt;="&amp;F98,tOperaciones[Fecha],"&lt;="&amp;'Configuración'!$C$8))</f>
        <v/>
      </c>
      <c r="J98" s="14" t="str">
        <f>IF(OR(B98="",'Configuración'!$C$8&lt;F98),"",H98+SUMIFS(tOperaciones[Importe],tOperaciones[Producto],B98,tOperaciones[Tipo],"Compra",tOperaciones[Fecha],"&gt;="&amp;F98,tOperaciones[Fecha],"&lt;="&amp;'Configuración'!$C$8)-SUMIFS(tOperaciones[Importe],tOperaciones[Producto],B98,tOperaciones[Tipo],"Venta",tOperaciones[Fecha],"&gt;="&amp;F98,tOperaciones[Fecha],"&lt;="&amp;'Configuración'!$C$8))</f>
        <v/>
      </c>
      <c r="K98" s="14" t="str">
        <f>IF(OR(B98="",COUNT(I98)=0),"",IF(I98=0,0,IF(COUNTIFS(tPrecios[Producto],B98,tPrecios[Fecha],"&lt;="&amp;'Configuración'!$C$8)=0,"",I98*SUMIFS(tPrecios[VL EUR],tPrecios[Producto],B98,tPrecios[Fecha],MAXIFS(tPrecios[Fecha],tPrecios[Producto],B98,tPrecios[Fecha],"&lt;="&amp;'Configuración'!$C$8)))))</f>
        <v/>
      </c>
      <c r="L98" s="14" t="str">
        <f>IF(OR(B98="",COUNT(K98)=0),"",K98-J98+SUMIFS(tOperaciones[Importe],tOperaciones[Producto],B98,tOperaciones[Tipo],"Cobro",tOperaciones[Fecha],"&gt;="&amp;F98,tOperaciones[Fecha],"&lt;="&amp;'Configuración'!$C$8))</f>
        <v/>
      </c>
      <c r="M98" s="45" t="str">
        <f>IF(OR(B98="",COUNT(L98)=0,H98+SUMIFS(tOperaciones[Importe],tOperaciones[Producto],B98,tOperaciones[Tipo],"Compra",tOperaciones[Fecha],"&lt;="&amp;'Configuración'!$C$8)=0),"",L98/(H98+SUMIFS(tOperaciones[Importe],tOperaciones[Producto],B98,tOperaciones[Tipo],"Compra",tOperaciones[Fecha],"&lt;="&amp;'Configuración'!$C$8)))</f>
        <v/>
      </c>
      <c r="N98" s="45" t="str">
        <f>IF(OR(B98="",COUNT(K98)=0,COUNT(tProductos[Valor])&lt;&gt;COUNTA(tProductos[ID]),SUM(tProductos[Valor])=0),"",K98/SUM(tProductos[Valor]))</f>
        <v/>
      </c>
    </row>
    <row r="99" ht="27.75" customHeight="1">
      <c r="A99" s="1"/>
      <c r="B99" s="10"/>
      <c r="C99" s="10"/>
      <c r="D99" s="10"/>
      <c r="E99" s="10"/>
      <c r="F99" s="11"/>
      <c r="G99" s="43"/>
      <c r="H99" s="13"/>
      <c r="I99" s="44" t="str">
        <f>IF(OR(B99="",'Configuración'!$C$8&lt;F99),"",G99+SUMIFS(tOperaciones[Participaciones],tOperaciones[Producto],B99,tOperaciones[Tipo],"Compra",tOperaciones[Fecha],"&gt;="&amp;F99,tOperaciones[Fecha],"&lt;="&amp;'Configuración'!$C$8)-SUMIFS(tOperaciones[Participaciones],tOperaciones[Producto],B99,tOperaciones[Tipo],"Venta",tOperaciones[Fecha],"&gt;="&amp;F99,tOperaciones[Fecha],"&lt;="&amp;'Configuración'!$C$8))</f>
        <v/>
      </c>
      <c r="J99" s="14" t="str">
        <f>IF(OR(B99="",'Configuración'!$C$8&lt;F99),"",H99+SUMIFS(tOperaciones[Importe],tOperaciones[Producto],B99,tOperaciones[Tipo],"Compra",tOperaciones[Fecha],"&gt;="&amp;F99,tOperaciones[Fecha],"&lt;="&amp;'Configuración'!$C$8)-SUMIFS(tOperaciones[Importe],tOperaciones[Producto],B99,tOperaciones[Tipo],"Venta",tOperaciones[Fecha],"&gt;="&amp;F99,tOperaciones[Fecha],"&lt;="&amp;'Configuración'!$C$8))</f>
        <v/>
      </c>
      <c r="K99" s="14" t="str">
        <f>IF(OR(B99="",COUNT(I99)=0),"",IF(I99=0,0,IF(COUNTIFS(tPrecios[Producto],B99,tPrecios[Fecha],"&lt;="&amp;'Configuración'!$C$8)=0,"",I99*SUMIFS(tPrecios[VL EUR],tPrecios[Producto],B99,tPrecios[Fecha],MAXIFS(tPrecios[Fecha],tPrecios[Producto],B99,tPrecios[Fecha],"&lt;="&amp;'Configuración'!$C$8)))))</f>
        <v/>
      </c>
      <c r="L99" s="14" t="str">
        <f>IF(OR(B99="",COUNT(K99)=0),"",K99-J99+SUMIFS(tOperaciones[Importe],tOperaciones[Producto],B99,tOperaciones[Tipo],"Cobro",tOperaciones[Fecha],"&gt;="&amp;F99,tOperaciones[Fecha],"&lt;="&amp;'Configuración'!$C$8))</f>
        <v/>
      </c>
      <c r="M99" s="45" t="str">
        <f>IF(OR(B99="",COUNT(L99)=0,H99+SUMIFS(tOperaciones[Importe],tOperaciones[Producto],B99,tOperaciones[Tipo],"Compra",tOperaciones[Fecha],"&lt;="&amp;'Configuración'!$C$8)=0),"",L99/(H99+SUMIFS(tOperaciones[Importe],tOperaciones[Producto],B99,tOperaciones[Tipo],"Compra",tOperaciones[Fecha],"&lt;="&amp;'Configuración'!$C$8)))</f>
        <v/>
      </c>
      <c r="N99" s="45" t="str">
        <f>IF(OR(B99="",COUNT(K99)=0,COUNT(tProductos[Valor])&lt;&gt;COUNTA(tProductos[ID]),SUM(tProductos[Valor])=0),"",K99/SUM(tProductos[Valor]))</f>
        <v/>
      </c>
    </row>
    <row r="100" ht="27.75" customHeight="1">
      <c r="A100" s="1"/>
      <c r="B100" s="10"/>
      <c r="C100" s="10"/>
      <c r="D100" s="10"/>
      <c r="E100" s="10"/>
      <c r="F100" s="11"/>
      <c r="G100" s="43"/>
      <c r="H100" s="13"/>
      <c r="I100" s="44" t="str">
        <f>IF(OR(B100="",'Configuración'!$C$8&lt;F100),"",G100+SUMIFS(tOperaciones[Participaciones],tOperaciones[Producto],B100,tOperaciones[Tipo],"Compra",tOperaciones[Fecha],"&gt;="&amp;F100,tOperaciones[Fecha],"&lt;="&amp;'Configuración'!$C$8)-SUMIFS(tOperaciones[Participaciones],tOperaciones[Producto],B100,tOperaciones[Tipo],"Venta",tOperaciones[Fecha],"&gt;="&amp;F100,tOperaciones[Fecha],"&lt;="&amp;'Configuración'!$C$8))</f>
        <v/>
      </c>
      <c r="J100" s="14" t="str">
        <f>IF(OR(B100="",'Configuración'!$C$8&lt;F100),"",H100+SUMIFS(tOperaciones[Importe],tOperaciones[Producto],B100,tOperaciones[Tipo],"Compra",tOperaciones[Fecha],"&gt;="&amp;F100,tOperaciones[Fecha],"&lt;="&amp;'Configuración'!$C$8)-SUMIFS(tOperaciones[Importe],tOperaciones[Producto],B100,tOperaciones[Tipo],"Venta",tOperaciones[Fecha],"&gt;="&amp;F100,tOperaciones[Fecha],"&lt;="&amp;'Configuración'!$C$8))</f>
        <v/>
      </c>
      <c r="K100" s="14" t="str">
        <f>IF(OR(B100="",COUNT(I100)=0),"",IF(I100=0,0,IF(COUNTIFS(tPrecios[Producto],B100,tPrecios[Fecha],"&lt;="&amp;'Configuración'!$C$8)=0,"",I100*SUMIFS(tPrecios[VL EUR],tPrecios[Producto],B100,tPrecios[Fecha],MAXIFS(tPrecios[Fecha],tPrecios[Producto],B100,tPrecios[Fecha],"&lt;="&amp;'Configuración'!$C$8)))))</f>
        <v/>
      </c>
      <c r="L100" s="14" t="str">
        <f>IF(OR(B100="",COUNT(K100)=0),"",K100-J100+SUMIFS(tOperaciones[Importe],tOperaciones[Producto],B100,tOperaciones[Tipo],"Cobro",tOperaciones[Fecha],"&gt;="&amp;F100,tOperaciones[Fecha],"&lt;="&amp;'Configuración'!$C$8))</f>
        <v/>
      </c>
      <c r="M100" s="45" t="str">
        <f>IF(OR(B100="",COUNT(L100)=0,H100+SUMIFS(tOperaciones[Importe],tOperaciones[Producto],B100,tOperaciones[Tipo],"Compra",tOperaciones[Fecha],"&lt;="&amp;'Configuración'!$C$8)=0),"",L100/(H100+SUMIFS(tOperaciones[Importe],tOperaciones[Producto],B100,tOperaciones[Tipo],"Compra",tOperaciones[Fecha],"&lt;="&amp;'Configuración'!$C$8)))</f>
        <v/>
      </c>
      <c r="N100" s="45" t="str">
        <f>IF(OR(B100="",COUNT(K100)=0,COUNT(tProductos[Valor])&lt;&gt;COUNTA(tProductos[ID]),SUM(tProductos[Valor])=0),"",K100/SUM(tProductos[Valor]))</f>
        <v/>
      </c>
    </row>
    <row r="101" ht="27.75" customHeight="1">
      <c r="A101" s="1"/>
      <c r="B101" s="10"/>
      <c r="C101" s="10"/>
      <c r="D101" s="10"/>
      <c r="E101" s="10"/>
      <c r="F101" s="11"/>
      <c r="G101" s="43"/>
      <c r="H101" s="13"/>
      <c r="I101" s="44" t="str">
        <f>IF(OR(B101="",'Configuración'!$C$8&lt;F101),"",G101+SUMIFS(tOperaciones[Participaciones],tOperaciones[Producto],B101,tOperaciones[Tipo],"Compra",tOperaciones[Fecha],"&gt;="&amp;F101,tOperaciones[Fecha],"&lt;="&amp;'Configuración'!$C$8)-SUMIFS(tOperaciones[Participaciones],tOperaciones[Producto],B101,tOperaciones[Tipo],"Venta",tOperaciones[Fecha],"&gt;="&amp;F101,tOperaciones[Fecha],"&lt;="&amp;'Configuración'!$C$8))</f>
        <v/>
      </c>
      <c r="J101" s="14" t="str">
        <f>IF(OR(B101="",'Configuración'!$C$8&lt;F101),"",H101+SUMIFS(tOperaciones[Importe],tOperaciones[Producto],B101,tOperaciones[Tipo],"Compra",tOperaciones[Fecha],"&gt;="&amp;F101,tOperaciones[Fecha],"&lt;="&amp;'Configuración'!$C$8)-SUMIFS(tOperaciones[Importe],tOperaciones[Producto],B101,tOperaciones[Tipo],"Venta",tOperaciones[Fecha],"&gt;="&amp;F101,tOperaciones[Fecha],"&lt;="&amp;'Configuración'!$C$8))</f>
        <v/>
      </c>
      <c r="K101" s="14" t="str">
        <f>IF(OR(B101="",COUNT(I101)=0),"",IF(I101=0,0,IF(COUNTIFS(tPrecios[Producto],B101,tPrecios[Fecha],"&lt;="&amp;'Configuración'!$C$8)=0,"",I101*SUMIFS(tPrecios[VL EUR],tPrecios[Producto],B101,tPrecios[Fecha],MAXIFS(tPrecios[Fecha],tPrecios[Producto],B101,tPrecios[Fecha],"&lt;="&amp;'Configuración'!$C$8)))))</f>
        <v/>
      </c>
      <c r="L101" s="14" t="str">
        <f>IF(OR(B101="",COUNT(K101)=0),"",K101-J101+SUMIFS(tOperaciones[Importe],tOperaciones[Producto],B101,tOperaciones[Tipo],"Cobro",tOperaciones[Fecha],"&gt;="&amp;F101,tOperaciones[Fecha],"&lt;="&amp;'Configuración'!$C$8))</f>
        <v/>
      </c>
      <c r="M101" s="45" t="str">
        <f>IF(OR(B101="",COUNT(L101)=0,H101+SUMIFS(tOperaciones[Importe],tOperaciones[Producto],B101,tOperaciones[Tipo],"Compra",tOperaciones[Fecha],"&lt;="&amp;'Configuración'!$C$8)=0),"",L101/(H101+SUMIFS(tOperaciones[Importe],tOperaciones[Producto],B101,tOperaciones[Tipo],"Compra",tOperaciones[Fecha],"&lt;="&amp;'Configuración'!$C$8)))</f>
        <v/>
      </c>
      <c r="N101" s="45" t="str">
        <f>IF(OR(B101="",COUNT(K101)=0,COUNT(tProductos[Valor])&lt;&gt;COUNTA(tProductos[ID]),SUM(tProductos[Valor])=0),"",K101/SUM(tProductos[Valor]))</f>
        <v/>
      </c>
    </row>
    <row r="102" ht="27.75" customHeight="1">
      <c r="A102" s="1"/>
      <c r="B102" s="10"/>
      <c r="C102" s="10"/>
      <c r="D102" s="10"/>
      <c r="E102" s="10"/>
      <c r="F102" s="11"/>
      <c r="G102" s="43"/>
      <c r="H102" s="13"/>
      <c r="I102" s="44" t="str">
        <f>IF(OR(B102="",'Configuración'!$C$8&lt;F102),"",G102+SUMIFS(tOperaciones[Participaciones],tOperaciones[Producto],B102,tOperaciones[Tipo],"Compra",tOperaciones[Fecha],"&gt;="&amp;F102,tOperaciones[Fecha],"&lt;="&amp;'Configuración'!$C$8)-SUMIFS(tOperaciones[Participaciones],tOperaciones[Producto],B102,tOperaciones[Tipo],"Venta",tOperaciones[Fecha],"&gt;="&amp;F102,tOperaciones[Fecha],"&lt;="&amp;'Configuración'!$C$8))</f>
        <v/>
      </c>
      <c r="J102" s="14" t="str">
        <f>IF(OR(B102="",'Configuración'!$C$8&lt;F102),"",H102+SUMIFS(tOperaciones[Importe],tOperaciones[Producto],B102,tOperaciones[Tipo],"Compra",tOperaciones[Fecha],"&gt;="&amp;F102,tOperaciones[Fecha],"&lt;="&amp;'Configuración'!$C$8)-SUMIFS(tOperaciones[Importe],tOperaciones[Producto],B102,tOperaciones[Tipo],"Venta",tOperaciones[Fecha],"&gt;="&amp;F102,tOperaciones[Fecha],"&lt;="&amp;'Configuración'!$C$8))</f>
        <v/>
      </c>
      <c r="K102" s="14" t="str">
        <f>IF(OR(B102="",COUNT(I102)=0),"",IF(I102=0,0,IF(COUNTIFS(tPrecios[Producto],B102,tPrecios[Fecha],"&lt;="&amp;'Configuración'!$C$8)=0,"",I102*SUMIFS(tPrecios[VL EUR],tPrecios[Producto],B102,tPrecios[Fecha],MAXIFS(tPrecios[Fecha],tPrecios[Producto],B102,tPrecios[Fecha],"&lt;="&amp;'Configuración'!$C$8)))))</f>
        <v/>
      </c>
      <c r="L102" s="14" t="str">
        <f>IF(OR(B102="",COUNT(K102)=0),"",K102-J102+SUMIFS(tOperaciones[Importe],tOperaciones[Producto],B102,tOperaciones[Tipo],"Cobro",tOperaciones[Fecha],"&gt;="&amp;F102,tOperaciones[Fecha],"&lt;="&amp;'Configuración'!$C$8))</f>
        <v/>
      </c>
      <c r="M102" s="45" t="str">
        <f>IF(OR(B102="",COUNT(L102)=0,H102+SUMIFS(tOperaciones[Importe],tOperaciones[Producto],B102,tOperaciones[Tipo],"Compra",tOperaciones[Fecha],"&lt;="&amp;'Configuración'!$C$8)=0),"",L102/(H102+SUMIFS(tOperaciones[Importe],tOperaciones[Producto],B102,tOperaciones[Tipo],"Compra",tOperaciones[Fecha],"&lt;="&amp;'Configuración'!$C$8)))</f>
        <v/>
      </c>
      <c r="N102" s="45" t="str">
        <f>IF(OR(B102="",COUNT(K102)=0,COUNT(tProductos[Valor])&lt;&gt;COUNTA(tProductos[ID]),SUM(tProductos[Valor])=0),"",K102/SUM(tProductos[Valor]))</f>
        <v/>
      </c>
    </row>
    <row r="103" ht="27.75" customHeight="1">
      <c r="A103" s="1"/>
      <c r="B103" s="10"/>
      <c r="C103" s="10"/>
      <c r="D103" s="10"/>
      <c r="E103" s="10"/>
      <c r="F103" s="11"/>
      <c r="G103" s="43"/>
      <c r="H103" s="13"/>
      <c r="I103" s="44" t="str">
        <f>IF(OR(B103="",'Configuración'!$C$8&lt;F103),"",G103+SUMIFS(tOperaciones[Participaciones],tOperaciones[Producto],B103,tOperaciones[Tipo],"Compra",tOperaciones[Fecha],"&gt;="&amp;F103,tOperaciones[Fecha],"&lt;="&amp;'Configuración'!$C$8)-SUMIFS(tOperaciones[Participaciones],tOperaciones[Producto],B103,tOperaciones[Tipo],"Venta",tOperaciones[Fecha],"&gt;="&amp;F103,tOperaciones[Fecha],"&lt;="&amp;'Configuración'!$C$8))</f>
        <v/>
      </c>
      <c r="J103" s="14" t="str">
        <f>IF(OR(B103="",'Configuración'!$C$8&lt;F103),"",H103+SUMIFS(tOperaciones[Importe],tOperaciones[Producto],B103,tOperaciones[Tipo],"Compra",tOperaciones[Fecha],"&gt;="&amp;F103,tOperaciones[Fecha],"&lt;="&amp;'Configuración'!$C$8)-SUMIFS(tOperaciones[Importe],tOperaciones[Producto],B103,tOperaciones[Tipo],"Venta",tOperaciones[Fecha],"&gt;="&amp;F103,tOperaciones[Fecha],"&lt;="&amp;'Configuración'!$C$8))</f>
        <v/>
      </c>
      <c r="K103" s="14" t="str">
        <f>IF(OR(B103="",COUNT(I103)=0),"",IF(I103=0,0,IF(COUNTIFS(tPrecios[Producto],B103,tPrecios[Fecha],"&lt;="&amp;'Configuración'!$C$8)=0,"",I103*SUMIFS(tPrecios[VL EUR],tPrecios[Producto],B103,tPrecios[Fecha],MAXIFS(tPrecios[Fecha],tPrecios[Producto],B103,tPrecios[Fecha],"&lt;="&amp;'Configuración'!$C$8)))))</f>
        <v/>
      </c>
      <c r="L103" s="14" t="str">
        <f>IF(OR(B103="",COUNT(K103)=0),"",K103-J103+SUMIFS(tOperaciones[Importe],tOperaciones[Producto],B103,tOperaciones[Tipo],"Cobro",tOperaciones[Fecha],"&gt;="&amp;F103,tOperaciones[Fecha],"&lt;="&amp;'Configuración'!$C$8))</f>
        <v/>
      </c>
      <c r="M103" s="45" t="str">
        <f>IF(OR(B103="",COUNT(L103)=0,H103+SUMIFS(tOperaciones[Importe],tOperaciones[Producto],B103,tOperaciones[Tipo],"Compra",tOperaciones[Fecha],"&lt;="&amp;'Configuración'!$C$8)=0),"",L103/(H103+SUMIFS(tOperaciones[Importe],tOperaciones[Producto],B103,tOperaciones[Tipo],"Compra",tOperaciones[Fecha],"&lt;="&amp;'Configuración'!$C$8)))</f>
        <v/>
      </c>
      <c r="N103" s="45" t="str">
        <f>IF(OR(B103="",COUNT(K103)=0,COUNT(tProductos[Valor])&lt;&gt;COUNTA(tProductos[ID]),SUM(tProductos[Valor])=0),"",K103/SUM(tProductos[Valor]))</f>
        <v/>
      </c>
    </row>
    <row r="104" ht="27.75" customHeight="1">
      <c r="A104" s="1"/>
      <c r="B104" s="10"/>
      <c r="C104" s="10"/>
      <c r="D104" s="10"/>
      <c r="E104" s="10"/>
      <c r="F104" s="11"/>
      <c r="G104" s="43"/>
      <c r="H104" s="13"/>
      <c r="I104" s="44" t="str">
        <f>IF(OR(B104="",'Configuración'!$C$8&lt;F104),"",G104+SUMIFS(tOperaciones[Participaciones],tOperaciones[Producto],B104,tOperaciones[Tipo],"Compra",tOperaciones[Fecha],"&gt;="&amp;F104,tOperaciones[Fecha],"&lt;="&amp;'Configuración'!$C$8)-SUMIFS(tOperaciones[Participaciones],tOperaciones[Producto],B104,tOperaciones[Tipo],"Venta",tOperaciones[Fecha],"&gt;="&amp;F104,tOperaciones[Fecha],"&lt;="&amp;'Configuración'!$C$8))</f>
        <v/>
      </c>
      <c r="J104" s="14" t="str">
        <f>IF(OR(B104="",'Configuración'!$C$8&lt;F104),"",H104+SUMIFS(tOperaciones[Importe],tOperaciones[Producto],B104,tOperaciones[Tipo],"Compra",tOperaciones[Fecha],"&gt;="&amp;F104,tOperaciones[Fecha],"&lt;="&amp;'Configuración'!$C$8)-SUMIFS(tOperaciones[Importe],tOperaciones[Producto],B104,tOperaciones[Tipo],"Venta",tOperaciones[Fecha],"&gt;="&amp;F104,tOperaciones[Fecha],"&lt;="&amp;'Configuración'!$C$8))</f>
        <v/>
      </c>
      <c r="K104" s="14" t="str">
        <f>IF(OR(B104="",COUNT(I104)=0),"",IF(I104=0,0,IF(COUNTIFS(tPrecios[Producto],B104,tPrecios[Fecha],"&lt;="&amp;'Configuración'!$C$8)=0,"",I104*SUMIFS(tPrecios[VL EUR],tPrecios[Producto],B104,tPrecios[Fecha],MAXIFS(tPrecios[Fecha],tPrecios[Producto],B104,tPrecios[Fecha],"&lt;="&amp;'Configuración'!$C$8)))))</f>
        <v/>
      </c>
      <c r="L104" s="14" t="str">
        <f>IF(OR(B104="",COUNT(K104)=0),"",K104-J104+SUMIFS(tOperaciones[Importe],tOperaciones[Producto],B104,tOperaciones[Tipo],"Cobro",tOperaciones[Fecha],"&gt;="&amp;F104,tOperaciones[Fecha],"&lt;="&amp;'Configuración'!$C$8))</f>
        <v/>
      </c>
      <c r="M104" s="45" t="str">
        <f>IF(OR(B104="",COUNT(L104)=0,H104+SUMIFS(tOperaciones[Importe],tOperaciones[Producto],B104,tOperaciones[Tipo],"Compra",tOperaciones[Fecha],"&lt;="&amp;'Configuración'!$C$8)=0),"",L104/(H104+SUMIFS(tOperaciones[Importe],tOperaciones[Producto],B104,tOperaciones[Tipo],"Compra",tOperaciones[Fecha],"&lt;="&amp;'Configuración'!$C$8)))</f>
        <v/>
      </c>
      <c r="N104" s="45" t="str">
        <f>IF(OR(B104="",COUNT(K104)=0,COUNT(tProductos[Valor])&lt;&gt;COUNTA(tProductos[ID]),SUM(tProductos[Valor])=0),"",K104/SUM(tProductos[Valor]))</f>
        <v/>
      </c>
    </row>
    <row r="105" ht="27.75" customHeight="1">
      <c r="A105" s="1"/>
      <c r="B105" s="10"/>
      <c r="C105" s="10"/>
      <c r="D105" s="10"/>
      <c r="E105" s="10"/>
      <c r="F105" s="11"/>
      <c r="G105" s="43"/>
      <c r="H105" s="13"/>
      <c r="I105" s="44" t="str">
        <f>IF(OR(B105="",'Configuración'!$C$8&lt;F105),"",G105+SUMIFS(tOperaciones[Participaciones],tOperaciones[Producto],B105,tOperaciones[Tipo],"Compra",tOperaciones[Fecha],"&gt;="&amp;F105,tOperaciones[Fecha],"&lt;="&amp;'Configuración'!$C$8)-SUMIFS(tOperaciones[Participaciones],tOperaciones[Producto],B105,tOperaciones[Tipo],"Venta",tOperaciones[Fecha],"&gt;="&amp;F105,tOperaciones[Fecha],"&lt;="&amp;'Configuración'!$C$8))</f>
        <v/>
      </c>
      <c r="J105" s="14" t="str">
        <f>IF(OR(B105="",'Configuración'!$C$8&lt;F105),"",H105+SUMIFS(tOperaciones[Importe],tOperaciones[Producto],B105,tOperaciones[Tipo],"Compra",tOperaciones[Fecha],"&gt;="&amp;F105,tOperaciones[Fecha],"&lt;="&amp;'Configuración'!$C$8)-SUMIFS(tOperaciones[Importe],tOperaciones[Producto],B105,tOperaciones[Tipo],"Venta",tOperaciones[Fecha],"&gt;="&amp;F105,tOperaciones[Fecha],"&lt;="&amp;'Configuración'!$C$8))</f>
        <v/>
      </c>
      <c r="K105" s="14" t="str">
        <f>IF(OR(B105="",COUNT(I105)=0),"",IF(I105=0,0,IF(COUNTIFS(tPrecios[Producto],B105,tPrecios[Fecha],"&lt;="&amp;'Configuración'!$C$8)=0,"",I105*SUMIFS(tPrecios[VL EUR],tPrecios[Producto],B105,tPrecios[Fecha],MAXIFS(tPrecios[Fecha],tPrecios[Producto],B105,tPrecios[Fecha],"&lt;="&amp;'Configuración'!$C$8)))))</f>
        <v/>
      </c>
      <c r="L105" s="14" t="str">
        <f>IF(OR(B105="",COUNT(K105)=0),"",K105-J105+SUMIFS(tOperaciones[Importe],tOperaciones[Producto],B105,tOperaciones[Tipo],"Cobro",tOperaciones[Fecha],"&gt;="&amp;F105,tOperaciones[Fecha],"&lt;="&amp;'Configuración'!$C$8))</f>
        <v/>
      </c>
      <c r="M105" s="45" t="str">
        <f>IF(OR(B105="",COUNT(L105)=0,H105+SUMIFS(tOperaciones[Importe],tOperaciones[Producto],B105,tOperaciones[Tipo],"Compra",tOperaciones[Fecha],"&lt;="&amp;'Configuración'!$C$8)=0),"",L105/(H105+SUMIFS(tOperaciones[Importe],tOperaciones[Producto],B105,tOperaciones[Tipo],"Compra",tOperaciones[Fecha],"&lt;="&amp;'Configuración'!$C$8)))</f>
        <v/>
      </c>
      <c r="N105" s="45" t="str">
        <f>IF(OR(B105="",COUNT(K105)=0,COUNT(tProductos[Valor])&lt;&gt;COUNTA(tProductos[ID]),SUM(tProductos[Valor])=0),"",K105/SUM(tProductos[Valor]))</f>
        <v/>
      </c>
    </row>
    <row r="106" ht="27.75" customHeight="1">
      <c r="A106" s="1"/>
      <c r="B106" s="10"/>
      <c r="C106" s="10"/>
      <c r="D106" s="10"/>
      <c r="E106" s="10"/>
      <c r="F106" s="11"/>
      <c r="G106" s="43"/>
      <c r="H106" s="13"/>
      <c r="I106" s="44" t="str">
        <f>IF(OR(B106="",'Configuración'!$C$8&lt;F106),"",G106+SUMIFS(tOperaciones[Participaciones],tOperaciones[Producto],B106,tOperaciones[Tipo],"Compra",tOperaciones[Fecha],"&gt;="&amp;F106,tOperaciones[Fecha],"&lt;="&amp;'Configuración'!$C$8)-SUMIFS(tOperaciones[Participaciones],tOperaciones[Producto],B106,tOperaciones[Tipo],"Venta",tOperaciones[Fecha],"&gt;="&amp;F106,tOperaciones[Fecha],"&lt;="&amp;'Configuración'!$C$8))</f>
        <v/>
      </c>
      <c r="J106" s="14" t="str">
        <f>IF(OR(B106="",'Configuración'!$C$8&lt;F106),"",H106+SUMIFS(tOperaciones[Importe],tOperaciones[Producto],B106,tOperaciones[Tipo],"Compra",tOperaciones[Fecha],"&gt;="&amp;F106,tOperaciones[Fecha],"&lt;="&amp;'Configuración'!$C$8)-SUMIFS(tOperaciones[Importe],tOperaciones[Producto],B106,tOperaciones[Tipo],"Venta",tOperaciones[Fecha],"&gt;="&amp;F106,tOperaciones[Fecha],"&lt;="&amp;'Configuración'!$C$8))</f>
        <v/>
      </c>
      <c r="K106" s="14" t="str">
        <f>IF(OR(B106="",COUNT(I106)=0),"",IF(I106=0,0,IF(COUNTIFS(tPrecios[Producto],B106,tPrecios[Fecha],"&lt;="&amp;'Configuración'!$C$8)=0,"",I106*SUMIFS(tPrecios[VL EUR],tPrecios[Producto],B106,tPrecios[Fecha],MAXIFS(tPrecios[Fecha],tPrecios[Producto],B106,tPrecios[Fecha],"&lt;="&amp;'Configuración'!$C$8)))))</f>
        <v/>
      </c>
      <c r="L106" s="14" t="str">
        <f>IF(OR(B106="",COUNT(K106)=0),"",K106-J106+SUMIFS(tOperaciones[Importe],tOperaciones[Producto],B106,tOperaciones[Tipo],"Cobro",tOperaciones[Fecha],"&gt;="&amp;F106,tOperaciones[Fecha],"&lt;="&amp;'Configuración'!$C$8))</f>
        <v/>
      </c>
      <c r="M106" s="45" t="str">
        <f>IF(OR(B106="",COUNT(L106)=0,H106+SUMIFS(tOperaciones[Importe],tOperaciones[Producto],B106,tOperaciones[Tipo],"Compra",tOperaciones[Fecha],"&lt;="&amp;'Configuración'!$C$8)=0),"",L106/(H106+SUMIFS(tOperaciones[Importe],tOperaciones[Producto],B106,tOperaciones[Tipo],"Compra",tOperaciones[Fecha],"&lt;="&amp;'Configuración'!$C$8)))</f>
        <v/>
      </c>
      <c r="N106" s="45" t="str">
        <f>IF(OR(B106="",COUNT(K106)=0,COUNT(tProductos[Valor])&lt;&gt;COUNTA(tProductos[ID]),SUM(tProductos[Valor])=0),"",K106/SUM(tProductos[Valor]))</f>
        <v/>
      </c>
    </row>
    <row r="107" ht="27.75" customHeight="1">
      <c r="A107" s="1"/>
      <c r="B107" s="10"/>
      <c r="C107" s="10"/>
      <c r="D107" s="10"/>
      <c r="E107" s="10"/>
      <c r="F107" s="11"/>
      <c r="G107" s="43"/>
      <c r="H107" s="13"/>
      <c r="I107" s="44" t="str">
        <f>IF(OR(B107="",'Configuración'!$C$8&lt;F107),"",G107+SUMIFS(tOperaciones[Participaciones],tOperaciones[Producto],B107,tOperaciones[Tipo],"Compra",tOperaciones[Fecha],"&gt;="&amp;F107,tOperaciones[Fecha],"&lt;="&amp;'Configuración'!$C$8)-SUMIFS(tOperaciones[Participaciones],tOperaciones[Producto],B107,tOperaciones[Tipo],"Venta",tOperaciones[Fecha],"&gt;="&amp;F107,tOperaciones[Fecha],"&lt;="&amp;'Configuración'!$C$8))</f>
        <v/>
      </c>
      <c r="J107" s="14" t="str">
        <f>IF(OR(B107="",'Configuración'!$C$8&lt;F107),"",H107+SUMIFS(tOperaciones[Importe],tOperaciones[Producto],B107,tOperaciones[Tipo],"Compra",tOperaciones[Fecha],"&gt;="&amp;F107,tOperaciones[Fecha],"&lt;="&amp;'Configuración'!$C$8)-SUMIFS(tOperaciones[Importe],tOperaciones[Producto],B107,tOperaciones[Tipo],"Venta",tOperaciones[Fecha],"&gt;="&amp;F107,tOperaciones[Fecha],"&lt;="&amp;'Configuración'!$C$8))</f>
        <v/>
      </c>
      <c r="K107" s="14" t="str">
        <f>IF(OR(B107="",COUNT(I107)=0),"",IF(I107=0,0,IF(COUNTIFS(tPrecios[Producto],B107,tPrecios[Fecha],"&lt;="&amp;'Configuración'!$C$8)=0,"",I107*SUMIFS(tPrecios[VL EUR],tPrecios[Producto],B107,tPrecios[Fecha],MAXIFS(tPrecios[Fecha],tPrecios[Producto],B107,tPrecios[Fecha],"&lt;="&amp;'Configuración'!$C$8)))))</f>
        <v/>
      </c>
      <c r="L107" s="14" t="str">
        <f>IF(OR(B107="",COUNT(K107)=0),"",K107-J107+SUMIFS(tOperaciones[Importe],tOperaciones[Producto],B107,tOperaciones[Tipo],"Cobro",tOperaciones[Fecha],"&gt;="&amp;F107,tOperaciones[Fecha],"&lt;="&amp;'Configuración'!$C$8))</f>
        <v/>
      </c>
      <c r="M107" s="45" t="str">
        <f>IF(OR(B107="",COUNT(L107)=0,H107+SUMIFS(tOperaciones[Importe],tOperaciones[Producto],B107,tOperaciones[Tipo],"Compra",tOperaciones[Fecha],"&lt;="&amp;'Configuración'!$C$8)=0),"",L107/(H107+SUMIFS(tOperaciones[Importe],tOperaciones[Producto],B107,tOperaciones[Tipo],"Compra",tOperaciones[Fecha],"&lt;="&amp;'Configuración'!$C$8)))</f>
        <v/>
      </c>
      <c r="N107" s="45" t="str">
        <f>IF(OR(B107="",COUNT(K107)=0,COUNT(tProductos[Valor])&lt;&gt;COUNTA(tProductos[ID]),SUM(tProductos[Valor])=0),"",K107/SUM(tProductos[Valor]))</f>
        <v/>
      </c>
    </row>
    <row r="108" ht="27.75" customHeight="1">
      <c r="A108" s="1"/>
      <c r="B108" s="10"/>
      <c r="C108" s="10"/>
      <c r="D108" s="10"/>
      <c r="E108" s="10"/>
      <c r="F108" s="11"/>
      <c r="G108" s="43"/>
      <c r="H108" s="13"/>
      <c r="I108" s="44" t="str">
        <f>IF(OR(B108="",'Configuración'!$C$8&lt;F108),"",G108+SUMIFS(tOperaciones[Participaciones],tOperaciones[Producto],B108,tOperaciones[Tipo],"Compra",tOperaciones[Fecha],"&gt;="&amp;F108,tOperaciones[Fecha],"&lt;="&amp;'Configuración'!$C$8)-SUMIFS(tOperaciones[Participaciones],tOperaciones[Producto],B108,tOperaciones[Tipo],"Venta",tOperaciones[Fecha],"&gt;="&amp;F108,tOperaciones[Fecha],"&lt;="&amp;'Configuración'!$C$8))</f>
        <v/>
      </c>
      <c r="J108" s="14" t="str">
        <f>IF(OR(B108="",'Configuración'!$C$8&lt;F108),"",H108+SUMIFS(tOperaciones[Importe],tOperaciones[Producto],B108,tOperaciones[Tipo],"Compra",tOperaciones[Fecha],"&gt;="&amp;F108,tOperaciones[Fecha],"&lt;="&amp;'Configuración'!$C$8)-SUMIFS(tOperaciones[Importe],tOperaciones[Producto],B108,tOperaciones[Tipo],"Venta",tOperaciones[Fecha],"&gt;="&amp;F108,tOperaciones[Fecha],"&lt;="&amp;'Configuración'!$C$8))</f>
        <v/>
      </c>
      <c r="K108" s="14" t="str">
        <f>IF(OR(B108="",COUNT(I108)=0),"",IF(I108=0,0,IF(COUNTIFS(tPrecios[Producto],B108,tPrecios[Fecha],"&lt;="&amp;'Configuración'!$C$8)=0,"",I108*SUMIFS(tPrecios[VL EUR],tPrecios[Producto],B108,tPrecios[Fecha],MAXIFS(tPrecios[Fecha],tPrecios[Producto],B108,tPrecios[Fecha],"&lt;="&amp;'Configuración'!$C$8)))))</f>
        <v/>
      </c>
      <c r="L108" s="14" t="str">
        <f>IF(OR(B108="",COUNT(K108)=0),"",K108-J108+SUMIFS(tOperaciones[Importe],tOperaciones[Producto],B108,tOperaciones[Tipo],"Cobro",tOperaciones[Fecha],"&gt;="&amp;F108,tOperaciones[Fecha],"&lt;="&amp;'Configuración'!$C$8))</f>
        <v/>
      </c>
      <c r="M108" s="45" t="str">
        <f>IF(OR(B108="",COUNT(L108)=0,H108+SUMIFS(tOperaciones[Importe],tOperaciones[Producto],B108,tOperaciones[Tipo],"Compra",tOperaciones[Fecha],"&lt;="&amp;'Configuración'!$C$8)=0),"",L108/(H108+SUMIFS(tOperaciones[Importe],tOperaciones[Producto],B108,tOperaciones[Tipo],"Compra",tOperaciones[Fecha],"&lt;="&amp;'Configuración'!$C$8)))</f>
        <v/>
      </c>
      <c r="N108" s="45" t="str">
        <f>IF(OR(B108="",COUNT(K108)=0,COUNT(tProductos[Valor])&lt;&gt;COUNTA(tProductos[ID]),SUM(tProductos[Valor])=0),"",K108/SUM(tProductos[Valor]))</f>
        <v/>
      </c>
    </row>
    <row r="109" ht="27.75" customHeight="1">
      <c r="A109" s="1"/>
      <c r="B109" s="10"/>
      <c r="C109" s="10"/>
      <c r="D109" s="10"/>
      <c r="E109" s="10"/>
      <c r="F109" s="11"/>
      <c r="G109" s="43"/>
      <c r="H109" s="13"/>
      <c r="I109" s="44" t="str">
        <f>IF(OR(B109="",'Configuración'!$C$8&lt;F109),"",G109+SUMIFS(tOperaciones[Participaciones],tOperaciones[Producto],B109,tOperaciones[Tipo],"Compra",tOperaciones[Fecha],"&gt;="&amp;F109,tOperaciones[Fecha],"&lt;="&amp;'Configuración'!$C$8)-SUMIFS(tOperaciones[Participaciones],tOperaciones[Producto],B109,tOperaciones[Tipo],"Venta",tOperaciones[Fecha],"&gt;="&amp;F109,tOperaciones[Fecha],"&lt;="&amp;'Configuración'!$C$8))</f>
        <v/>
      </c>
      <c r="J109" s="14" t="str">
        <f>IF(OR(B109="",'Configuración'!$C$8&lt;F109),"",H109+SUMIFS(tOperaciones[Importe],tOperaciones[Producto],B109,tOperaciones[Tipo],"Compra",tOperaciones[Fecha],"&gt;="&amp;F109,tOperaciones[Fecha],"&lt;="&amp;'Configuración'!$C$8)-SUMIFS(tOperaciones[Importe],tOperaciones[Producto],B109,tOperaciones[Tipo],"Venta",tOperaciones[Fecha],"&gt;="&amp;F109,tOperaciones[Fecha],"&lt;="&amp;'Configuración'!$C$8))</f>
        <v/>
      </c>
      <c r="K109" s="14" t="str">
        <f>IF(OR(B109="",COUNT(I109)=0),"",IF(I109=0,0,IF(COUNTIFS(tPrecios[Producto],B109,tPrecios[Fecha],"&lt;="&amp;'Configuración'!$C$8)=0,"",I109*SUMIFS(tPrecios[VL EUR],tPrecios[Producto],B109,tPrecios[Fecha],MAXIFS(tPrecios[Fecha],tPrecios[Producto],B109,tPrecios[Fecha],"&lt;="&amp;'Configuración'!$C$8)))))</f>
        <v/>
      </c>
      <c r="L109" s="14" t="str">
        <f>IF(OR(B109="",COUNT(K109)=0),"",K109-J109+SUMIFS(tOperaciones[Importe],tOperaciones[Producto],B109,tOperaciones[Tipo],"Cobro",tOperaciones[Fecha],"&gt;="&amp;F109,tOperaciones[Fecha],"&lt;="&amp;'Configuración'!$C$8))</f>
        <v/>
      </c>
      <c r="M109" s="45" t="str">
        <f>IF(OR(B109="",COUNT(L109)=0,H109+SUMIFS(tOperaciones[Importe],tOperaciones[Producto],B109,tOperaciones[Tipo],"Compra",tOperaciones[Fecha],"&lt;="&amp;'Configuración'!$C$8)=0),"",L109/(H109+SUMIFS(tOperaciones[Importe],tOperaciones[Producto],B109,tOperaciones[Tipo],"Compra",tOperaciones[Fecha],"&lt;="&amp;'Configuración'!$C$8)))</f>
        <v/>
      </c>
      <c r="N109" s="45" t="str">
        <f>IF(OR(B109="",COUNT(K109)=0,COUNT(tProductos[Valor])&lt;&gt;COUNTA(tProductos[ID]),SUM(tProductos[Valor])=0),"",K109/SUM(tProductos[Valor]))</f>
        <v/>
      </c>
    </row>
    <row r="110" ht="27.75" customHeight="1">
      <c r="A110" s="1"/>
      <c r="B110" s="10"/>
      <c r="C110" s="10"/>
      <c r="D110" s="10"/>
      <c r="E110" s="10"/>
      <c r="F110" s="11"/>
      <c r="G110" s="43"/>
      <c r="H110" s="13"/>
      <c r="I110" s="44" t="str">
        <f>IF(OR(B110="",'Configuración'!$C$8&lt;F110),"",G110+SUMIFS(tOperaciones[Participaciones],tOperaciones[Producto],B110,tOperaciones[Tipo],"Compra",tOperaciones[Fecha],"&gt;="&amp;F110,tOperaciones[Fecha],"&lt;="&amp;'Configuración'!$C$8)-SUMIFS(tOperaciones[Participaciones],tOperaciones[Producto],B110,tOperaciones[Tipo],"Venta",tOperaciones[Fecha],"&gt;="&amp;F110,tOperaciones[Fecha],"&lt;="&amp;'Configuración'!$C$8))</f>
        <v/>
      </c>
      <c r="J110" s="14" t="str">
        <f>IF(OR(B110="",'Configuración'!$C$8&lt;F110),"",H110+SUMIFS(tOperaciones[Importe],tOperaciones[Producto],B110,tOperaciones[Tipo],"Compra",tOperaciones[Fecha],"&gt;="&amp;F110,tOperaciones[Fecha],"&lt;="&amp;'Configuración'!$C$8)-SUMIFS(tOperaciones[Importe],tOperaciones[Producto],B110,tOperaciones[Tipo],"Venta",tOperaciones[Fecha],"&gt;="&amp;F110,tOperaciones[Fecha],"&lt;="&amp;'Configuración'!$C$8))</f>
        <v/>
      </c>
      <c r="K110" s="14" t="str">
        <f>IF(OR(B110="",COUNT(I110)=0),"",IF(I110=0,0,IF(COUNTIFS(tPrecios[Producto],B110,tPrecios[Fecha],"&lt;="&amp;'Configuración'!$C$8)=0,"",I110*SUMIFS(tPrecios[VL EUR],tPrecios[Producto],B110,tPrecios[Fecha],MAXIFS(tPrecios[Fecha],tPrecios[Producto],B110,tPrecios[Fecha],"&lt;="&amp;'Configuración'!$C$8)))))</f>
        <v/>
      </c>
      <c r="L110" s="14" t="str">
        <f>IF(OR(B110="",COUNT(K110)=0),"",K110-J110+SUMIFS(tOperaciones[Importe],tOperaciones[Producto],B110,tOperaciones[Tipo],"Cobro",tOperaciones[Fecha],"&gt;="&amp;F110,tOperaciones[Fecha],"&lt;="&amp;'Configuración'!$C$8))</f>
        <v/>
      </c>
      <c r="M110" s="45" t="str">
        <f>IF(OR(B110="",COUNT(L110)=0,H110+SUMIFS(tOperaciones[Importe],tOperaciones[Producto],B110,tOperaciones[Tipo],"Compra",tOperaciones[Fecha],"&lt;="&amp;'Configuración'!$C$8)=0),"",L110/(H110+SUMIFS(tOperaciones[Importe],tOperaciones[Producto],B110,tOperaciones[Tipo],"Compra",tOperaciones[Fecha],"&lt;="&amp;'Configuración'!$C$8)))</f>
        <v/>
      </c>
      <c r="N110" s="45" t="str">
        <f>IF(OR(B110="",COUNT(K110)=0,COUNT(tProductos[Valor])&lt;&gt;COUNTA(tProductos[ID]),SUM(tProductos[Valor])=0),"",K110/SUM(tProductos[Valor]))</f>
        <v/>
      </c>
    </row>
    <row r="111" ht="27.75" customHeight="1">
      <c r="A111" s="1"/>
      <c r="B111" s="10"/>
      <c r="C111" s="10"/>
      <c r="D111" s="10"/>
      <c r="E111" s="10"/>
      <c r="F111" s="11"/>
      <c r="G111" s="43"/>
      <c r="H111" s="13"/>
      <c r="I111" s="44" t="str">
        <f>IF(OR(B111="",'Configuración'!$C$8&lt;F111),"",G111+SUMIFS(tOperaciones[Participaciones],tOperaciones[Producto],B111,tOperaciones[Tipo],"Compra",tOperaciones[Fecha],"&gt;="&amp;F111,tOperaciones[Fecha],"&lt;="&amp;'Configuración'!$C$8)-SUMIFS(tOperaciones[Participaciones],tOperaciones[Producto],B111,tOperaciones[Tipo],"Venta",tOperaciones[Fecha],"&gt;="&amp;F111,tOperaciones[Fecha],"&lt;="&amp;'Configuración'!$C$8))</f>
        <v/>
      </c>
      <c r="J111" s="14" t="str">
        <f>IF(OR(B111="",'Configuración'!$C$8&lt;F111),"",H111+SUMIFS(tOperaciones[Importe],tOperaciones[Producto],B111,tOperaciones[Tipo],"Compra",tOperaciones[Fecha],"&gt;="&amp;F111,tOperaciones[Fecha],"&lt;="&amp;'Configuración'!$C$8)-SUMIFS(tOperaciones[Importe],tOperaciones[Producto],B111,tOperaciones[Tipo],"Venta",tOperaciones[Fecha],"&gt;="&amp;F111,tOperaciones[Fecha],"&lt;="&amp;'Configuración'!$C$8))</f>
        <v/>
      </c>
      <c r="K111" s="14" t="str">
        <f>IF(OR(B111="",COUNT(I111)=0),"",IF(I111=0,0,IF(COUNTIFS(tPrecios[Producto],B111,tPrecios[Fecha],"&lt;="&amp;'Configuración'!$C$8)=0,"",I111*SUMIFS(tPrecios[VL EUR],tPrecios[Producto],B111,tPrecios[Fecha],MAXIFS(tPrecios[Fecha],tPrecios[Producto],B111,tPrecios[Fecha],"&lt;="&amp;'Configuración'!$C$8)))))</f>
        <v/>
      </c>
      <c r="L111" s="14" t="str">
        <f>IF(OR(B111="",COUNT(K111)=0),"",K111-J111+SUMIFS(tOperaciones[Importe],tOperaciones[Producto],B111,tOperaciones[Tipo],"Cobro",tOperaciones[Fecha],"&gt;="&amp;F111,tOperaciones[Fecha],"&lt;="&amp;'Configuración'!$C$8))</f>
        <v/>
      </c>
      <c r="M111" s="45" t="str">
        <f>IF(OR(B111="",COUNT(L111)=0,H111+SUMIFS(tOperaciones[Importe],tOperaciones[Producto],B111,tOperaciones[Tipo],"Compra",tOperaciones[Fecha],"&lt;="&amp;'Configuración'!$C$8)=0),"",L111/(H111+SUMIFS(tOperaciones[Importe],tOperaciones[Producto],B111,tOperaciones[Tipo],"Compra",tOperaciones[Fecha],"&lt;="&amp;'Configuración'!$C$8)))</f>
        <v/>
      </c>
      <c r="N111" s="45" t="str">
        <f>IF(OR(B111="",COUNT(K111)=0,COUNT(tProductos[Valor])&lt;&gt;COUNTA(tProductos[ID]),SUM(tProductos[Valor])=0),"",K111/SUM(tProductos[Valor]))</f>
        <v/>
      </c>
    </row>
    <row r="112" ht="27.75" customHeight="1">
      <c r="A112" s="1"/>
      <c r="B112" s="10"/>
      <c r="C112" s="10"/>
      <c r="D112" s="10"/>
      <c r="E112" s="10"/>
      <c r="F112" s="11"/>
      <c r="G112" s="43"/>
      <c r="H112" s="13"/>
      <c r="I112" s="44" t="str">
        <f>IF(OR(B112="",'Configuración'!$C$8&lt;F112),"",G112+SUMIFS(tOperaciones[Participaciones],tOperaciones[Producto],B112,tOperaciones[Tipo],"Compra",tOperaciones[Fecha],"&gt;="&amp;F112,tOperaciones[Fecha],"&lt;="&amp;'Configuración'!$C$8)-SUMIFS(tOperaciones[Participaciones],tOperaciones[Producto],B112,tOperaciones[Tipo],"Venta",tOperaciones[Fecha],"&gt;="&amp;F112,tOperaciones[Fecha],"&lt;="&amp;'Configuración'!$C$8))</f>
        <v/>
      </c>
      <c r="J112" s="14" t="str">
        <f>IF(OR(B112="",'Configuración'!$C$8&lt;F112),"",H112+SUMIFS(tOperaciones[Importe],tOperaciones[Producto],B112,tOperaciones[Tipo],"Compra",tOperaciones[Fecha],"&gt;="&amp;F112,tOperaciones[Fecha],"&lt;="&amp;'Configuración'!$C$8)-SUMIFS(tOperaciones[Importe],tOperaciones[Producto],B112,tOperaciones[Tipo],"Venta",tOperaciones[Fecha],"&gt;="&amp;F112,tOperaciones[Fecha],"&lt;="&amp;'Configuración'!$C$8))</f>
        <v/>
      </c>
      <c r="K112" s="14" t="str">
        <f>IF(OR(B112="",COUNT(I112)=0),"",IF(I112=0,0,IF(COUNTIFS(tPrecios[Producto],B112,tPrecios[Fecha],"&lt;="&amp;'Configuración'!$C$8)=0,"",I112*SUMIFS(tPrecios[VL EUR],tPrecios[Producto],B112,tPrecios[Fecha],MAXIFS(tPrecios[Fecha],tPrecios[Producto],B112,tPrecios[Fecha],"&lt;="&amp;'Configuración'!$C$8)))))</f>
        <v/>
      </c>
      <c r="L112" s="14" t="str">
        <f>IF(OR(B112="",COUNT(K112)=0),"",K112-J112+SUMIFS(tOperaciones[Importe],tOperaciones[Producto],B112,tOperaciones[Tipo],"Cobro",tOperaciones[Fecha],"&gt;="&amp;F112,tOperaciones[Fecha],"&lt;="&amp;'Configuración'!$C$8))</f>
        <v/>
      </c>
      <c r="M112" s="45" t="str">
        <f>IF(OR(B112="",COUNT(L112)=0,H112+SUMIFS(tOperaciones[Importe],tOperaciones[Producto],B112,tOperaciones[Tipo],"Compra",tOperaciones[Fecha],"&lt;="&amp;'Configuración'!$C$8)=0),"",L112/(H112+SUMIFS(tOperaciones[Importe],tOperaciones[Producto],B112,tOperaciones[Tipo],"Compra",tOperaciones[Fecha],"&lt;="&amp;'Configuración'!$C$8)))</f>
        <v/>
      </c>
      <c r="N112" s="45" t="str">
        <f>IF(OR(B112="",COUNT(K112)=0,COUNT(tProductos[Valor])&lt;&gt;COUNTA(tProductos[ID]),SUM(tProductos[Valor])=0),"",K112/SUM(tProductos[Valor]))</f>
        <v/>
      </c>
    </row>
    <row r="113" ht="27.75" customHeight="1">
      <c r="A113" s="1"/>
      <c r="B113" s="10"/>
      <c r="C113" s="10"/>
      <c r="D113" s="10"/>
      <c r="E113" s="10"/>
      <c r="F113" s="11"/>
      <c r="G113" s="43"/>
      <c r="H113" s="13"/>
      <c r="I113" s="44" t="str">
        <f>IF(OR(B113="",'Configuración'!$C$8&lt;F113),"",G113+SUMIFS(tOperaciones[Participaciones],tOperaciones[Producto],B113,tOperaciones[Tipo],"Compra",tOperaciones[Fecha],"&gt;="&amp;F113,tOperaciones[Fecha],"&lt;="&amp;'Configuración'!$C$8)-SUMIFS(tOperaciones[Participaciones],tOperaciones[Producto],B113,tOperaciones[Tipo],"Venta",tOperaciones[Fecha],"&gt;="&amp;F113,tOperaciones[Fecha],"&lt;="&amp;'Configuración'!$C$8))</f>
        <v/>
      </c>
      <c r="J113" s="14" t="str">
        <f>IF(OR(B113="",'Configuración'!$C$8&lt;F113),"",H113+SUMIFS(tOperaciones[Importe],tOperaciones[Producto],B113,tOperaciones[Tipo],"Compra",tOperaciones[Fecha],"&gt;="&amp;F113,tOperaciones[Fecha],"&lt;="&amp;'Configuración'!$C$8)-SUMIFS(tOperaciones[Importe],tOperaciones[Producto],B113,tOperaciones[Tipo],"Venta",tOperaciones[Fecha],"&gt;="&amp;F113,tOperaciones[Fecha],"&lt;="&amp;'Configuración'!$C$8))</f>
        <v/>
      </c>
      <c r="K113" s="14" t="str">
        <f>IF(OR(B113="",COUNT(I113)=0),"",IF(I113=0,0,IF(COUNTIFS(tPrecios[Producto],B113,tPrecios[Fecha],"&lt;="&amp;'Configuración'!$C$8)=0,"",I113*SUMIFS(tPrecios[VL EUR],tPrecios[Producto],B113,tPrecios[Fecha],MAXIFS(tPrecios[Fecha],tPrecios[Producto],B113,tPrecios[Fecha],"&lt;="&amp;'Configuración'!$C$8)))))</f>
        <v/>
      </c>
      <c r="L113" s="14" t="str">
        <f>IF(OR(B113="",COUNT(K113)=0),"",K113-J113+SUMIFS(tOperaciones[Importe],tOperaciones[Producto],B113,tOperaciones[Tipo],"Cobro",tOperaciones[Fecha],"&gt;="&amp;F113,tOperaciones[Fecha],"&lt;="&amp;'Configuración'!$C$8))</f>
        <v/>
      </c>
      <c r="M113" s="45" t="str">
        <f>IF(OR(B113="",COUNT(L113)=0,H113+SUMIFS(tOperaciones[Importe],tOperaciones[Producto],B113,tOperaciones[Tipo],"Compra",tOperaciones[Fecha],"&lt;="&amp;'Configuración'!$C$8)=0),"",L113/(H113+SUMIFS(tOperaciones[Importe],tOperaciones[Producto],B113,tOperaciones[Tipo],"Compra",tOperaciones[Fecha],"&lt;="&amp;'Configuración'!$C$8)))</f>
        <v/>
      </c>
      <c r="N113" s="45" t="str">
        <f>IF(OR(B113="",COUNT(K113)=0,COUNT(tProductos[Valor])&lt;&gt;COUNTA(tProductos[ID]),SUM(tProductos[Valor])=0),"",K113/SUM(tProductos[Valor]))</f>
        <v/>
      </c>
    </row>
    <row r="114" ht="27.75" customHeight="1">
      <c r="A114" s="1"/>
      <c r="B114" s="10"/>
      <c r="C114" s="10"/>
      <c r="D114" s="10"/>
      <c r="E114" s="10"/>
      <c r="F114" s="11"/>
      <c r="G114" s="43"/>
      <c r="H114" s="13"/>
      <c r="I114" s="44" t="str">
        <f>IF(OR(B114="",'Configuración'!$C$8&lt;F114),"",G114+SUMIFS(tOperaciones[Participaciones],tOperaciones[Producto],B114,tOperaciones[Tipo],"Compra",tOperaciones[Fecha],"&gt;="&amp;F114,tOperaciones[Fecha],"&lt;="&amp;'Configuración'!$C$8)-SUMIFS(tOperaciones[Participaciones],tOperaciones[Producto],B114,tOperaciones[Tipo],"Venta",tOperaciones[Fecha],"&gt;="&amp;F114,tOperaciones[Fecha],"&lt;="&amp;'Configuración'!$C$8))</f>
        <v/>
      </c>
      <c r="J114" s="14" t="str">
        <f>IF(OR(B114="",'Configuración'!$C$8&lt;F114),"",H114+SUMIFS(tOperaciones[Importe],tOperaciones[Producto],B114,tOperaciones[Tipo],"Compra",tOperaciones[Fecha],"&gt;="&amp;F114,tOperaciones[Fecha],"&lt;="&amp;'Configuración'!$C$8)-SUMIFS(tOperaciones[Importe],tOperaciones[Producto],B114,tOperaciones[Tipo],"Venta",tOperaciones[Fecha],"&gt;="&amp;F114,tOperaciones[Fecha],"&lt;="&amp;'Configuración'!$C$8))</f>
        <v/>
      </c>
      <c r="K114" s="14" t="str">
        <f>IF(OR(B114="",COUNT(I114)=0),"",IF(I114=0,0,IF(COUNTIFS(tPrecios[Producto],B114,tPrecios[Fecha],"&lt;="&amp;'Configuración'!$C$8)=0,"",I114*SUMIFS(tPrecios[VL EUR],tPrecios[Producto],B114,tPrecios[Fecha],MAXIFS(tPrecios[Fecha],tPrecios[Producto],B114,tPrecios[Fecha],"&lt;="&amp;'Configuración'!$C$8)))))</f>
        <v/>
      </c>
      <c r="L114" s="14" t="str">
        <f>IF(OR(B114="",COUNT(K114)=0),"",K114-J114+SUMIFS(tOperaciones[Importe],tOperaciones[Producto],B114,tOperaciones[Tipo],"Cobro",tOperaciones[Fecha],"&gt;="&amp;F114,tOperaciones[Fecha],"&lt;="&amp;'Configuración'!$C$8))</f>
        <v/>
      </c>
      <c r="M114" s="45" t="str">
        <f>IF(OR(B114="",COUNT(L114)=0,H114+SUMIFS(tOperaciones[Importe],tOperaciones[Producto],B114,tOperaciones[Tipo],"Compra",tOperaciones[Fecha],"&lt;="&amp;'Configuración'!$C$8)=0),"",L114/(H114+SUMIFS(tOperaciones[Importe],tOperaciones[Producto],B114,tOperaciones[Tipo],"Compra",tOperaciones[Fecha],"&lt;="&amp;'Configuración'!$C$8)))</f>
        <v/>
      </c>
      <c r="N114" s="45" t="str">
        <f>IF(OR(B114="",COUNT(K114)=0,COUNT(tProductos[Valor])&lt;&gt;COUNTA(tProductos[ID]),SUM(tProductos[Valor])=0),"",K114/SUM(tProductos[Valor]))</f>
        <v/>
      </c>
    </row>
    <row r="115" ht="27.75" customHeight="1">
      <c r="A115" s="1"/>
      <c r="B115" s="10"/>
      <c r="C115" s="10"/>
      <c r="D115" s="10"/>
      <c r="E115" s="10"/>
      <c r="F115" s="11"/>
      <c r="G115" s="43"/>
      <c r="H115" s="13"/>
      <c r="I115" s="44" t="str">
        <f>IF(OR(B115="",'Configuración'!$C$8&lt;F115),"",G115+SUMIFS(tOperaciones[Participaciones],tOperaciones[Producto],B115,tOperaciones[Tipo],"Compra",tOperaciones[Fecha],"&gt;="&amp;F115,tOperaciones[Fecha],"&lt;="&amp;'Configuración'!$C$8)-SUMIFS(tOperaciones[Participaciones],tOperaciones[Producto],B115,tOperaciones[Tipo],"Venta",tOperaciones[Fecha],"&gt;="&amp;F115,tOperaciones[Fecha],"&lt;="&amp;'Configuración'!$C$8))</f>
        <v/>
      </c>
      <c r="J115" s="14" t="str">
        <f>IF(OR(B115="",'Configuración'!$C$8&lt;F115),"",H115+SUMIFS(tOperaciones[Importe],tOperaciones[Producto],B115,tOperaciones[Tipo],"Compra",tOperaciones[Fecha],"&gt;="&amp;F115,tOperaciones[Fecha],"&lt;="&amp;'Configuración'!$C$8)-SUMIFS(tOperaciones[Importe],tOperaciones[Producto],B115,tOperaciones[Tipo],"Venta",tOperaciones[Fecha],"&gt;="&amp;F115,tOperaciones[Fecha],"&lt;="&amp;'Configuración'!$C$8))</f>
        <v/>
      </c>
      <c r="K115" s="14" t="str">
        <f>IF(OR(B115="",COUNT(I115)=0),"",IF(I115=0,0,IF(COUNTIFS(tPrecios[Producto],B115,tPrecios[Fecha],"&lt;="&amp;'Configuración'!$C$8)=0,"",I115*SUMIFS(tPrecios[VL EUR],tPrecios[Producto],B115,tPrecios[Fecha],MAXIFS(tPrecios[Fecha],tPrecios[Producto],B115,tPrecios[Fecha],"&lt;="&amp;'Configuración'!$C$8)))))</f>
        <v/>
      </c>
      <c r="L115" s="14" t="str">
        <f>IF(OR(B115="",COUNT(K115)=0),"",K115-J115+SUMIFS(tOperaciones[Importe],tOperaciones[Producto],B115,tOperaciones[Tipo],"Cobro",tOperaciones[Fecha],"&gt;="&amp;F115,tOperaciones[Fecha],"&lt;="&amp;'Configuración'!$C$8))</f>
        <v/>
      </c>
      <c r="M115" s="45" t="str">
        <f>IF(OR(B115="",COUNT(L115)=0,H115+SUMIFS(tOperaciones[Importe],tOperaciones[Producto],B115,tOperaciones[Tipo],"Compra",tOperaciones[Fecha],"&lt;="&amp;'Configuración'!$C$8)=0),"",L115/(H115+SUMIFS(tOperaciones[Importe],tOperaciones[Producto],B115,tOperaciones[Tipo],"Compra",tOperaciones[Fecha],"&lt;="&amp;'Configuración'!$C$8)))</f>
        <v/>
      </c>
      <c r="N115" s="45" t="str">
        <f>IF(OR(B115="",COUNT(K115)=0,COUNT(tProductos[Valor])&lt;&gt;COUNTA(tProductos[ID]),SUM(tProductos[Valor])=0),"",K115/SUM(tProductos[Valor]))</f>
        <v/>
      </c>
    </row>
    <row r="116" ht="27.75" customHeight="1">
      <c r="A116" s="1"/>
      <c r="B116" s="10"/>
      <c r="C116" s="10"/>
      <c r="D116" s="10"/>
      <c r="E116" s="10"/>
      <c r="F116" s="11"/>
      <c r="G116" s="43"/>
      <c r="H116" s="13"/>
      <c r="I116" s="44" t="str">
        <f>IF(OR(B116="",'Configuración'!$C$8&lt;F116),"",G116+SUMIFS(tOperaciones[Participaciones],tOperaciones[Producto],B116,tOperaciones[Tipo],"Compra",tOperaciones[Fecha],"&gt;="&amp;F116,tOperaciones[Fecha],"&lt;="&amp;'Configuración'!$C$8)-SUMIFS(tOperaciones[Participaciones],tOperaciones[Producto],B116,tOperaciones[Tipo],"Venta",tOperaciones[Fecha],"&gt;="&amp;F116,tOperaciones[Fecha],"&lt;="&amp;'Configuración'!$C$8))</f>
        <v/>
      </c>
      <c r="J116" s="14" t="str">
        <f>IF(OR(B116="",'Configuración'!$C$8&lt;F116),"",H116+SUMIFS(tOperaciones[Importe],tOperaciones[Producto],B116,tOperaciones[Tipo],"Compra",tOperaciones[Fecha],"&gt;="&amp;F116,tOperaciones[Fecha],"&lt;="&amp;'Configuración'!$C$8)-SUMIFS(tOperaciones[Importe],tOperaciones[Producto],B116,tOperaciones[Tipo],"Venta",tOperaciones[Fecha],"&gt;="&amp;F116,tOperaciones[Fecha],"&lt;="&amp;'Configuración'!$C$8))</f>
        <v/>
      </c>
      <c r="K116" s="14" t="str">
        <f>IF(OR(B116="",COUNT(I116)=0),"",IF(I116=0,0,IF(COUNTIFS(tPrecios[Producto],B116,tPrecios[Fecha],"&lt;="&amp;'Configuración'!$C$8)=0,"",I116*SUMIFS(tPrecios[VL EUR],tPrecios[Producto],B116,tPrecios[Fecha],MAXIFS(tPrecios[Fecha],tPrecios[Producto],B116,tPrecios[Fecha],"&lt;="&amp;'Configuración'!$C$8)))))</f>
        <v/>
      </c>
      <c r="L116" s="14" t="str">
        <f>IF(OR(B116="",COUNT(K116)=0),"",K116-J116+SUMIFS(tOperaciones[Importe],tOperaciones[Producto],B116,tOperaciones[Tipo],"Cobro",tOperaciones[Fecha],"&gt;="&amp;F116,tOperaciones[Fecha],"&lt;="&amp;'Configuración'!$C$8))</f>
        <v/>
      </c>
      <c r="M116" s="45" t="str">
        <f>IF(OR(B116="",COUNT(L116)=0,H116+SUMIFS(tOperaciones[Importe],tOperaciones[Producto],B116,tOperaciones[Tipo],"Compra",tOperaciones[Fecha],"&lt;="&amp;'Configuración'!$C$8)=0),"",L116/(H116+SUMIFS(tOperaciones[Importe],tOperaciones[Producto],B116,tOperaciones[Tipo],"Compra",tOperaciones[Fecha],"&lt;="&amp;'Configuración'!$C$8)))</f>
        <v/>
      </c>
      <c r="N116" s="45" t="str">
        <f>IF(OR(B116="",COUNT(K116)=0,COUNT(tProductos[Valor])&lt;&gt;COUNTA(tProductos[ID]),SUM(tProductos[Valor])=0),"",K116/SUM(tProductos[Valor]))</f>
        <v/>
      </c>
    </row>
    <row r="117" ht="27.75" customHeight="1">
      <c r="A117" s="1"/>
      <c r="B117" s="10"/>
      <c r="C117" s="10"/>
      <c r="D117" s="10"/>
      <c r="E117" s="10"/>
      <c r="F117" s="11"/>
      <c r="G117" s="43"/>
      <c r="H117" s="13"/>
      <c r="I117" s="44" t="str">
        <f>IF(OR(B117="",'Configuración'!$C$8&lt;F117),"",G117+SUMIFS(tOperaciones[Participaciones],tOperaciones[Producto],B117,tOperaciones[Tipo],"Compra",tOperaciones[Fecha],"&gt;="&amp;F117,tOperaciones[Fecha],"&lt;="&amp;'Configuración'!$C$8)-SUMIFS(tOperaciones[Participaciones],tOperaciones[Producto],B117,tOperaciones[Tipo],"Venta",tOperaciones[Fecha],"&gt;="&amp;F117,tOperaciones[Fecha],"&lt;="&amp;'Configuración'!$C$8))</f>
        <v/>
      </c>
      <c r="J117" s="14" t="str">
        <f>IF(OR(B117="",'Configuración'!$C$8&lt;F117),"",H117+SUMIFS(tOperaciones[Importe],tOperaciones[Producto],B117,tOperaciones[Tipo],"Compra",tOperaciones[Fecha],"&gt;="&amp;F117,tOperaciones[Fecha],"&lt;="&amp;'Configuración'!$C$8)-SUMIFS(tOperaciones[Importe],tOperaciones[Producto],B117,tOperaciones[Tipo],"Venta",tOperaciones[Fecha],"&gt;="&amp;F117,tOperaciones[Fecha],"&lt;="&amp;'Configuración'!$C$8))</f>
        <v/>
      </c>
      <c r="K117" s="14" t="str">
        <f>IF(OR(B117="",COUNT(I117)=0),"",IF(I117=0,0,IF(COUNTIFS(tPrecios[Producto],B117,tPrecios[Fecha],"&lt;="&amp;'Configuración'!$C$8)=0,"",I117*SUMIFS(tPrecios[VL EUR],tPrecios[Producto],B117,tPrecios[Fecha],MAXIFS(tPrecios[Fecha],tPrecios[Producto],B117,tPrecios[Fecha],"&lt;="&amp;'Configuración'!$C$8)))))</f>
        <v/>
      </c>
      <c r="L117" s="14" t="str">
        <f>IF(OR(B117="",COUNT(K117)=0),"",K117-J117+SUMIFS(tOperaciones[Importe],tOperaciones[Producto],B117,tOperaciones[Tipo],"Cobro",tOperaciones[Fecha],"&gt;="&amp;F117,tOperaciones[Fecha],"&lt;="&amp;'Configuración'!$C$8))</f>
        <v/>
      </c>
      <c r="M117" s="45" t="str">
        <f>IF(OR(B117="",COUNT(L117)=0,H117+SUMIFS(tOperaciones[Importe],tOperaciones[Producto],B117,tOperaciones[Tipo],"Compra",tOperaciones[Fecha],"&lt;="&amp;'Configuración'!$C$8)=0),"",L117/(H117+SUMIFS(tOperaciones[Importe],tOperaciones[Producto],B117,tOperaciones[Tipo],"Compra",tOperaciones[Fecha],"&lt;="&amp;'Configuración'!$C$8)))</f>
        <v/>
      </c>
      <c r="N117" s="45" t="str">
        <f>IF(OR(B117="",COUNT(K117)=0,COUNT(tProductos[Valor])&lt;&gt;COUNTA(tProductos[ID]),SUM(tProductos[Valor])=0),"",K117/SUM(tProductos[Valor]))</f>
        <v/>
      </c>
    </row>
    <row r="118" ht="27.75" customHeight="1">
      <c r="A118" s="1"/>
      <c r="B118" s="10"/>
      <c r="C118" s="10"/>
      <c r="D118" s="10"/>
      <c r="E118" s="10"/>
      <c r="F118" s="11"/>
      <c r="G118" s="43"/>
      <c r="H118" s="13"/>
      <c r="I118" s="44" t="str">
        <f>IF(OR(B118="",'Configuración'!$C$8&lt;F118),"",G118+SUMIFS(tOperaciones[Participaciones],tOperaciones[Producto],B118,tOperaciones[Tipo],"Compra",tOperaciones[Fecha],"&gt;="&amp;F118,tOperaciones[Fecha],"&lt;="&amp;'Configuración'!$C$8)-SUMIFS(tOperaciones[Participaciones],tOperaciones[Producto],B118,tOperaciones[Tipo],"Venta",tOperaciones[Fecha],"&gt;="&amp;F118,tOperaciones[Fecha],"&lt;="&amp;'Configuración'!$C$8))</f>
        <v/>
      </c>
      <c r="J118" s="14" t="str">
        <f>IF(OR(B118="",'Configuración'!$C$8&lt;F118),"",H118+SUMIFS(tOperaciones[Importe],tOperaciones[Producto],B118,tOperaciones[Tipo],"Compra",tOperaciones[Fecha],"&gt;="&amp;F118,tOperaciones[Fecha],"&lt;="&amp;'Configuración'!$C$8)-SUMIFS(tOperaciones[Importe],tOperaciones[Producto],B118,tOperaciones[Tipo],"Venta",tOperaciones[Fecha],"&gt;="&amp;F118,tOperaciones[Fecha],"&lt;="&amp;'Configuración'!$C$8))</f>
        <v/>
      </c>
      <c r="K118" s="14" t="str">
        <f>IF(OR(B118="",COUNT(I118)=0),"",IF(I118=0,0,IF(COUNTIFS(tPrecios[Producto],B118,tPrecios[Fecha],"&lt;="&amp;'Configuración'!$C$8)=0,"",I118*SUMIFS(tPrecios[VL EUR],tPrecios[Producto],B118,tPrecios[Fecha],MAXIFS(tPrecios[Fecha],tPrecios[Producto],B118,tPrecios[Fecha],"&lt;="&amp;'Configuración'!$C$8)))))</f>
        <v/>
      </c>
      <c r="L118" s="14" t="str">
        <f>IF(OR(B118="",COUNT(K118)=0),"",K118-J118+SUMIFS(tOperaciones[Importe],tOperaciones[Producto],B118,tOperaciones[Tipo],"Cobro",tOperaciones[Fecha],"&gt;="&amp;F118,tOperaciones[Fecha],"&lt;="&amp;'Configuración'!$C$8))</f>
        <v/>
      </c>
      <c r="M118" s="45" t="str">
        <f>IF(OR(B118="",COUNT(L118)=0,H118+SUMIFS(tOperaciones[Importe],tOperaciones[Producto],B118,tOperaciones[Tipo],"Compra",tOperaciones[Fecha],"&lt;="&amp;'Configuración'!$C$8)=0),"",L118/(H118+SUMIFS(tOperaciones[Importe],tOperaciones[Producto],B118,tOperaciones[Tipo],"Compra",tOperaciones[Fecha],"&lt;="&amp;'Configuración'!$C$8)))</f>
        <v/>
      </c>
      <c r="N118" s="45" t="str">
        <f>IF(OR(B118="",COUNT(K118)=0,COUNT(tProductos[Valor])&lt;&gt;COUNTA(tProductos[ID]),SUM(tProductos[Valor])=0),"",K118/SUM(tProductos[Valor]))</f>
        <v/>
      </c>
    </row>
    <row r="119" ht="27.75" customHeight="1">
      <c r="A119" s="1"/>
      <c r="B119" s="10"/>
      <c r="C119" s="10"/>
      <c r="D119" s="10"/>
      <c r="E119" s="10"/>
      <c r="F119" s="11"/>
      <c r="G119" s="43"/>
      <c r="H119" s="13"/>
      <c r="I119" s="44" t="str">
        <f>IF(OR(B119="",'Configuración'!$C$8&lt;F119),"",G119+SUMIFS(tOperaciones[Participaciones],tOperaciones[Producto],B119,tOperaciones[Tipo],"Compra",tOperaciones[Fecha],"&gt;="&amp;F119,tOperaciones[Fecha],"&lt;="&amp;'Configuración'!$C$8)-SUMIFS(tOperaciones[Participaciones],tOperaciones[Producto],B119,tOperaciones[Tipo],"Venta",tOperaciones[Fecha],"&gt;="&amp;F119,tOperaciones[Fecha],"&lt;="&amp;'Configuración'!$C$8))</f>
        <v/>
      </c>
      <c r="J119" s="14" t="str">
        <f>IF(OR(B119="",'Configuración'!$C$8&lt;F119),"",H119+SUMIFS(tOperaciones[Importe],tOperaciones[Producto],B119,tOperaciones[Tipo],"Compra",tOperaciones[Fecha],"&gt;="&amp;F119,tOperaciones[Fecha],"&lt;="&amp;'Configuración'!$C$8)-SUMIFS(tOperaciones[Importe],tOperaciones[Producto],B119,tOperaciones[Tipo],"Venta",tOperaciones[Fecha],"&gt;="&amp;F119,tOperaciones[Fecha],"&lt;="&amp;'Configuración'!$C$8))</f>
        <v/>
      </c>
      <c r="K119" s="14" t="str">
        <f>IF(OR(B119="",COUNT(I119)=0),"",IF(I119=0,0,IF(COUNTIFS(tPrecios[Producto],B119,tPrecios[Fecha],"&lt;="&amp;'Configuración'!$C$8)=0,"",I119*SUMIFS(tPrecios[VL EUR],tPrecios[Producto],B119,tPrecios[Fecha],MAXIFS(tPrecios[Fecha],tPrecios[Producto],B119,tPrecios[Fecha],"&lt;="&amp;'Configuración'!$C$8)))))</f>
        <v/>
      </c>
      <c r="L119" s="14" t="str">
        <f>IF(OR(B119="",COUNT(K119)=0),"",K119-J119+SUMIFS(tOperaciones[Importe],tOperaciones[Producto],B119,tOperaciones[Tipo],"Cobro",tOperaciones[Fecha],"&gt;="&amp;F119,tOperaciones[Fecha],"&lt;="&amp;'Configuración'!$C$8))</f>
        <v/>
      </c>
      <c r="M119" s="45" t="str">
        <f>IF(OR(B119="",COUNT(L119)=0,H119+SUMIFS(tOperaciones[Importe],tOperaciones[Producto],B119,tOperaciones[Tipo],"Compra",tOperaciones[Fecha],"&lt;="&amp;'Configuración'!$C$8)=0),"",L119/(H119+SUMIFS(tOperaciones[Importe],tOperaciones[Producto],B119,tOperaciones[Tipo],"Compra",tOperaciones[Fecha],"&lt;="&amp;'Configuración'!$C$8)))</f>
        <v/>
      </c>
      <c r="N119" s="45" t="str">
        <f>IF(OR(B119="",COUNT(K119)=0,COUNT(tProductos[Valor])&lt;&gt;COUNTA(tProductos[ID]),SUM(tProductos[Valor])=0),"",K119/SUM(tProductos[Valor]))</f>
        <v/>
      </c>
    </row>
    <row r="120" ht="27.75" customHeight="1">
      <c r="A120" s="1"/>
      <c r="B120" s="10"/>
      <c r="C120" s="10"/>
      <c r="D120" s="10"/>
      <c r="E120" s="10"/>
      <c r="F120" s="11"/>
      <c r="G120" s="43"/>
      <c r="H120" s="13"/>
      <c r="I120" s="44" t="str">
        <f>IF(OR(B120="",'Configuración'!$C$8&lt;F120),"",G120+SUMIFS(tOperaciones[Participaciones],tOperaciones[Producto],B120,tOperaciones[Tipo],"Compra",tOperaciones[Fecha],"&gt;="&amp;F120,tOperaciones[Fecha],"&lt;="&amp;'Configuración'!$C$8)-SUMIFS(tOperaciones[Participaciones],tOperaciones[Producto],B120,tOperaciones[Tipo],"Venta",tOperaciones[Fecha],"&gt;="&amp;F120,tOperaciones[Fecha],"&lt;="&amp;'Configuración'!$C$8))</f>
        <v/>
      </c>
      <c r="J120" s="14" t="str">
        <f>IF(OR(B120="",'Configuración'!$C$8&lt;F120),"",H120+SUMIFS(tOperaciones[Importe],tOperaciones[Producto],B120,tOperaciones[Tipo],"Compra",tOperaciones[Fecha],"&gt;="&amp;F120,tOperaciones[Fecha],"&lt;="&amp;'Configuración'!$C$8)-SUMIFS(tOperaciones[Importe],tOperaciones[Producto],B120,tOperaciones[Tipo],"Venta",tOperaciones[Fecha],"&gt;="&amp;F120,tOperaciones[Fecha],"&lt;="&amp;'Configuración'!$C$8))</f>
        <v/>
      </c>
      <c r="K120" s="14" t="str">
        <f>IF(OR(B120="",COUNT(I120)=0),"",IF(I120=0,0,IF(COUNTIFS(tPrecios[Producto],B120,tPrecios[Fecha],"&lt;="&amp;'Configuración'!$C$8)=0,"",I120*SUMIFS(tPrecios[VL EUR],tPrecios[Producto],B120,tPrecios[Fecha],MAXIFS(tPrecios[Fecha],tPrecios[Producto],B120,tPrecios[Fecha],"&lt;="&amp;'Configuración'!$C$8)))))</f>
        <v/>
      </c>
      <c r="L120" s="14" t="str">
        <f>IF(OR(B120="",COUNT(K120)=0),"",K120-J120+SUMIFS(tOperaciones[Importe],tOperaciones[Producto],B120,tOperaciones[Tipo],"Cobro",tOperaciones[Fecha],"&gt;="&amp;F120,tOperaciones[Fecha],"&lt;="&amp;'Configuración'!$C$8))</f>
        <v/>
      </c>
      <c r="M120" s="45" t="str">
        <f>IF(OR(B120="",COUNT(L120)=0,H120+SUMIFS(tOperaciones[Importe],tOperaciones[Producto],B120,tOperaciones[Tipo],"Compra",tOperaciones[Fecha],"&lt;="&amp;'Configuración'!$C$8)=0),"",L120/(H120+SUMIFS(tOperaciones[Importe],tOperaciones[Producto],B120,tOperaciones[Tipo],"Compra",tOperaciones[Fecha],"&lt;="&amp;'Configuración'!$C$8)))</f>
        <v/>
      </c>
      <c r="N120" s="45" t="str">
        <f>IF(OR(B120="",COUNT(K120)=0,COUNT(tProductos[Valor])&lt;&gt;COUNTA(tProductos[ID]),SUM(tProductos[Valor])=0),"",K120/SUM(tProductos[Valor]))</f>
        <v/>
      </c>
    </row>
    <row r="121" ht="27.75" customHeight="1">
      <c r="A121" s="1"/>
      <c r="B121" s="10"/>
      <c r="C121" s="10"/>
      <c r="D121" s="10"/>
      <c r="E121" s="10"/>
      <c r="F121" s="11"/>
      <c r="G121" s="43"/>
      <c r="H121" s="13"/>
      <c r="I121" s="44" t="str">
        <f>IF(OR(B121="",'Configuración'!$C$8&lt;F121),"",G121+SUMIFS(tOperaciones[Participaciones],tOperaciones[Producto],B121,tOperaciones[Tipo],"Compra",tOperaciones[Fecha],"&gt;="&amp;F121,tOperaciones[Fecha],"&lt;="&amp;'Configuración'!$C$8)-SUMIFS(tOperaciones[Participaciones],tOperaciones[Producto],B121,tOperaciones[Tipo],"Venta",tOperaciones[Fecha],"&gt;="&amp;F121,tOperaciones[Fecha],"&lt;="&amp;'Configuración'!$C$8))</f>
        <v/>
      </c>
      <c r="J121" s="14" t="str">
        <f>IF(OR(B121="",'Configuración'!$C$8&lt;F121),"",H121+SUMIFS(tOperaciones[Importe],tOperaciones[Producto],B121,tOperaciones[Tipo],"Compra",tOperaciones[Fecha],"&gt;="&amp;F121,tOperaciones[Fecha],"&lt;="&amp;'Configuración'!$C$8)-SUMIFS(tOperaciones[Importe],tOperaciones[Producto],B121,tOperaciones[Tipo],"Venta",tOperaciones[Fecha],"&gt;="&amp;F121,tOperaciones[Fecha],"&lt;="&amp;'Configuración'!$C$8))</f>
        <v/>
      </c>
      <c r="K121" s="14" t="str">
        <f>IF(OR(B121="",COUNT(I121)=0),"",IF(I121=0,0,IF(COUNTIFS(tPrecios[Producto],B121,tPrecios[Fecha],"&lt;="&amp;'Configuración'!$C$8)=0,"",I121*SUMIFS(tPrecios[VL EUR],tPrecios[Producto],B121,tPrecios[Fecha],MAXIFS(tPrecios[Fecha],tPrecios[Producto],B121,tPrecios[Fecha],"&lt;="&amp;'Configuración'!$C$8)))))</f>
        <v/>
      </c>
      <c r="L121" s="14" t="str">
        <f>IF(OR(B121="",COUNT(K121)=0),"",K121-J121+SUMIFS(tOperaciones[Importe],tOperaciones[Producto],B121,tOperaciones[Tipo],"Cobro",tOperaciones[Fecha],"&gt;="&amp;F121,tOperaciones[Fecha],"&lt;="&amp;'Configuración'!$C$8))</f>
        <v/>
      </c>
      <c r="M121" s="45" t="str">
        <f>IF(OR(B121="",COUNT(L121)=0,H121+SUMIFS(tOperaciones[Importe],tOperaciones[Producto],B121,tOperaciones[Tipo],"Compra",tOperaciones[Fecha],"&lt;="&amp;'Configuración'!$C$8)=0),"",L121/(H121+SUMIFS(tOperaciones[Importe],tOperaciones[Producto],B121,tOperaciones[Tipo],"Compra",tOperaciones[Fecha],"&lt;="&amp;'Configuración'!$C$8)))</f>
        <v/>
      </c>
      <c r="N121" s="45" t="str">
        <f>IF(OR(B121="",COUNT(K121)=0,COUNT(tProductos[Valor])&lt;&gt;COUNTA(tProductos[ID]),SUM(tProductos[Valor])=0),"",K121/SUM(tProductos[Valor]))</f>
        <v/>
      </c>
    </row>
    <row r="122" ht="27.75" customHeight="1">
      <c r="A122" s="1"/>
      <c r="B122" s="10"/>
      <c r="C122" s="10"/>
      <c r="D122" s="10"/>
      <c r="E122" s="10"/>
      <c r="F122" s="11"/>
      <c r="G122" s="43"/>
      <c r="H122" s="13"/>
      <c r="I122" s="44" t="str">
        <f>IF(OR(B122="",'Configuración'!$C$8&lt;F122),"",G122+SUMIFS(tOperaciones[Participaciones],tOperaciones[Producto],B122,tOperaciones[Tipo],"Compra",tOperaciones[Fecha],"&gt;="&amp;F122,tOperaciones[Fecha],"&lt;="&amp;'Configuración'!$C$8)-SUMIFS(tOperaciones[Participaciones],tOperaciones[Producto],B122,tOperaciones[Tipo],"Venta",tOperaciones[Fecha],"&gt;="&amp;F122,tOperaciones[Fecha],"&lt;="&amp;'Configuración'!$C$8))</f>
        <v/>
      </c>
      <c r="J122" s="14" t="str">
        <f>IF(OR(B122="",'Configuración'!$C$8&lt;F122),"",H122+SUMIFS(tOperaciones[Importe],tOperaciones[Producto],B122,tOperaciones[Tipo],"Compra",tOperaciones[Fecha],"&gt;="&amp;F122,tOperaciones[Fecha],"&lt;="&amp;'Configuración'!$C$8)-SUMIFS(tOperaciones[Importe],tOperaciones[Producto],B122,tOperaciones[Tipo],"Venta",tOperaciones[Fecha],"&gt;="&amp;F122,tOperaciones[Fecha],"&lt;="&amp;'Configuración'!$C$8))</f>
        <v/>
      </c>
      <c r="K122" s="14" t="str">
        <f>IF(OR(B122="",COUNT(I122)=0),"",IF(I122=0,0,IF(COUNTIFS(tPrecios[Producto],B122,tPrecios[Fecha],"&lt;="&amp;'Configuración'!$C$8)=0,"",I122*SUMIFS(tPrecios[VL EUR],tPrecios[Producto],B122,tPrecios[Fecha],MAXIFS(tPrecios[Fecha],tPrecios[Producto],B122,tPrecios[Fecha],"&lt;="&amp;'Configuración'!$C$8)))))</f>
        <v/>
      </c>
      <c r="L122" s="14" t="str">
        <f>IF(OR(B122="",COUNT(K122)=0),"",K122-J122+SUMIFS(tOperaciones[Importe],tOperaciones[Producto],B122,tOperaciones[Tipo],"Cobro",tOperaciones[Fecha],"&gt;="&amp;F122,tOperaciones[Fecha],"&lt;="&amp;'Configuración'!$C$8))</f>
        <v/>
      </c>
      <c r="M122" s="45" t="str">
        <f>IF(OR(B122="",COUNT(L122)=0,H122+SUMIFS(tOperaciones[Importe],tOperaciones[Producto],B122,tOperaciones[Tipo],"Compra",tOperaciones[Fecha],"&lt;="&amp;'Configuración'!$C$8)=0),"",L122/(H122+SUMIFS(tOperaciones[Importe],tOperaciones[Producto],B122,tOperaciones[Tipo],"Compra",tOperaciones[Fecha],"&lt;="&amp;'Configuración'!$C$8)))</f>
        <v/>
      </c>
      <c r="N122" s="45" t="str">
        <f>IF(OR(B122="",COUNT(K122)=0,COUNT(tProductos[Valor])&lt;&gt;COUNTA(tProductos[ID]),SUM(tProductos[Valor])=0),"",K122/SUM(tProductos[Valor]))</f>
        <v/>
      </c>
    </row>
    <row r="123" ht="27.75" customHeight="1">
      <c r="A123" s="1"/>
      <c r="B123" s="10"/>
      <c r="C123" s="10"/>
      <c r="D123" s="10"/>
      <c r="E123" s="10"/>
      <c r="F123" s="11"/>
      <c r="G123" s="43"/>
      <c r="H123" s="13"/>
      <c r="I123" s="44" t="str">
        <f>IF(OR(B123="",'Configuración'!$C$8&lt;F123),"",G123+SUMIFS(tOperaciones[Participaciones],tOperaciones[Producto],B123,tOperaciones[Tipo],"Compra",tOperaciones[Fecha],"&gt;="&amp;F123,tOperaciones[Fecha],"&lt;="&amp;'Configuración'!$C$8)-SUMIFS(tOperaciones[Participaciones],tOperaciones[Producto],B123,tOperaciones[Tipo],"Venta",tOperaciones[Fecha],"&gt;="&amp;F123,tOperaciones[Fecha],"&lt;="&amp;'Configuración'!$C$8))</f>
        <v/>
      </c>
      <c r="J123" s="14" t="str">
        <f>IF(OR(B123="",'Configuración'!$C$8&lt;F123),"",H123+SUMIFS(tOperaciones[Importe],tOperaciones[Producto],B123,tOperaciones[Tipo],"Compra",tOperaciones[Fecha],"&gt;="&amp;F123,tOperaciones[Fecha],"&lt;="&amp;'Configuración'!$C$8)-SUMIFS(tOperaciones[Importe],tOperaciones[Producto],B123,tOperaciones[Tipo],"Venta",tOperaciones[Fecha],"&gt;="&amp;F123,tOperaciones[Fecha],"&lt;="&amp;'Configuración'!$C$8))</f>
        <v/>
      </c>
      <c r="K123" s="14" t="str">
        <f>IF(OR(B123="",COUNT(I123)=0),"",IF(I123=0,0,IF(COUNTIFS(tPrecios[Producto],B123,tPrecios[Fecha],"&lt;="&amp;'Configuración'!$C$8)=0,"",I123*SUMIFS(tPrecios[VL EUR],tPrecios[Producto],B123,tPrecios[Fecha],MAXIFS(tPrecios[Fecha],tPrecios[Producto],B123,tPrecios[Fecha],"&lt;="&amp;'Configuración'!$C$8)))))</f>
        <v/>
      </c>
      <c r="L123" s="14" t="str">
        <f>IF(OR(B123="",COUNT(K123)=0),"",K123-J123+SUMIFS(tOperaciones[Importe],tOperaciones[Producto],B123,tOperaciones[Tipo],"Cobro",tOperaciones[Fecha],"&gt;="&amp;F123,tOperaciones[Fecha],"&lt;="&amp;'Configuración'!$C$8))</f>
        <v/>
      </c>
      <c r="M123" s="45" t="str">
        <f>IF(OR(B123="",COUNT(L123)=0,H123+SUMIFS(tOperaciones[Importe],tOperaciones[Producto],B123,tOperaciones[Tipo],"Compra",tOperaciones[Fecha],"&lt;="&amp;'Configuración'!$C$8)=0),"",L123/(H123+SUMIFS(tOperaciones[Importe],tOperaciones[Producto],B123,tOperaciones[Tipo],"Compra",tOperaciones[Fecha],"&lt;="&amp;'Configuración'!$C$8)))</f>
        <v/>
      </c>
      <c r="N123" s="45" t="str">
        <f>IF(OR(B123="",COUNT(K123)=0,COUNT(tProductos[Valor])&lt;&gt;COUNTA(tProductos[ID]),SUM(tProductos[Valor])=0),"",K123/SUM(tProductos[Valor]))</f>
        <v/>
      </c>
    </row>
    <row r="124" ht="27.75" customHeight="1">
      <c r="A124" s="1"/>
      <c r="B124" s="10"/>
      <c r="C124" s="10"/>
      <c r="D124" s="10"/>
      <c r="E124" s="10"/>
      <c r="F124" s="11"/>
      <c r="G124" s="43"/>
      <c r="H124" s="13"/>
      <c r="I124" s="44" t="str">
        <f>IF(OR(B124="",'Configuración'!$C$8&lt;F124),"",G124+SUMIFS(tOperaciones[Participaciones],tOperaciones[Producto],B124,tOperaciones[Tipo],"Compra",tOperaciones[Fecha],"&gt;="&amp;F124,tOperaciones[Fecha],"&lt;="&amp;'Configuración'!$C$8)-SUMIFS(tOperaciones[Participaciones],tOperaciones[Producto],B124,tOperaciones[Tipo],"Venta",tOperaciones[Fecha],"&gt;="&amp;F124,tOperaciones[Fecha],"&lt;="&amp;'Configuración'!$C$8))</f>
        <v/>
      </c>
      <c r="J124" s="14" t="str">
        <f>IF(OR(B124="",'Configuración'!$C$8&lt;F124),"",H124+SUMIFS(tOperaciones[Importe],tOperaciones[Producto],B124,tOperaciones[Tipo],"Compra",tOperaciones[Fecha],"&gt;="&amp;F124,tOperaciones[Fecha],"&lt;="&amp;'Configuración'!$C$8)-SUMIFS(tOperaciones[Importe],tOperaciones[Producto],B124,tOperaciones[Tipo],"Venta",tOperaciones[Fecha],"&gt;="&amp;F124,tOperaciones[Fecha],"&lt;="&amp;'Configuración'!$C$8))</f>
        <v/>
      </c>
      <c r="K124" s="14" t="str">
        <f>IF(OR(B124="",COUNT(I124)=0),"",IF(I124=0,0,IF(COUNTIFS(tPrecios[Producto],B124,tPrecios[Fecha],"&lt;="&amp;'Configuración'!$C$8)=0,"",I124*SUMIFS(tPrecios[VL EUR],tPrecios[Producto],B124,tPrecios[Fecha],MAXIFS(tPrecios[Fecha],tPrecios[Producto],B124,tPrecios[Fecha],"&lt;="&amp;'Configuración'!$C$8)))))</f>
        <v/>
      </c>
      <c r="L124" s="14" t="str">
        <f>IF(OR(B124="",COUNT(K124)=0),"",K124-J124+SUMIFS(tOperaciones[Importe],tOperaciones[Producto],B124,tOperaciones[Tipo],"Cobro",tOperaciones[Fecha],"&gt;="&amp;F124,tOperaciones[Fecha],"&lt;="&amp;'Configuración'!$C$8))</f>
        <v/>
      </c>
      <c r="M124" s="45" t="str">
        <f>IF(OR(B124="",COUNT(L124)=0,H124+SUMIFS(tOperaciones[Importe],tOperaciones[Producto],B124,tOperaciones[Tipo],"Compra",tOperaciones[Fecha],"&lt;="&amp;'Configuración'!$C$8)=0),"",L124/(H124+SUMIFS(tOperaciones[Importe],tOperaciones[Producto],B124,tOperaciones[Tipo],"Compra",tOperaciones[Fecha],"&lt;="&amp;'Configuración'!$C$8)))</f>
        <v/>
      </c>
      <c r="N124" s="45" t="str">
        <f>IF(OR(B124="",COUNT(K124)=0,COUNT(tProductos[Valor])&lt;&gt;COUNTA(tProductos[ID]),SUM(tProductos[Valor])=0),"",K124/SUM(tProductos[Valor]))</f>
        <v/>
      </c>
    </row>
    <row r="125" ht="27.75" customHeight="1">
      <c r="A125" s="1"/>
      <c r="B125" s="10"/>
      <c r="C125" s="10"/>
      <c r="D125" s="10"/>
      <c r="E125" s="10"/>
      <c r="F125" s="11"/>
      <c r="G125" s="43"/>
      <c r="H125" s="13"/>
      <c r="I125" s="44" t="str">
        <f>IF(OR(B125="",'Configuración'!$C$8&lt;F125),"",G125+SUMIFS(tOperaciones[Participaciones],tOperaciones[Producto],B125,tOperaciones[Tipo],"Compra",tOperaciones[Fecha],"&gt;="&amp;F125,tOperaciones[Fecha],"&lt;="&amp;'Configuración'!$C$8)-SUMIFS(tOperaciones[Participaciones],tOperaciones[Producto],B125,tOperaciones[Tipo],"Venta",tOperaciones[Fecha],"&gt;="&amp;F125,tOperaciones[Fecha],"&lt;="&amp;'Configuración'!$C$8))</f>
        <v/>
      </c>
      <c r="J125" s="14" t="str">
        <f>IF(OR(B125="",'Configuración'!$C$8&lt;F125),"",H125+SUMIFS(tOperaciones[Importe],tOperaciones[Producto],B125,tOperaciones[Tipo],"Compra",tOperaciones[Fecha],"&gt;="&amp;F125,tOperaciones[Fecha],"&lt;="&amp;'Configuración'!$C$8)-SUMIFS(tOperaciones[Importe],tOperaciones[Producto],B125,tOperaciones[Tipo],"Venta",tOperaciones[Fecha],"&gt;="&amp;F125,tOperaciones[Fecha],"&lt;="&amp;'Configuración'!$C$8))</f>
        <v/>
      </c>
      <c r="K125" s="14" t="str">
        <f>IF(OR(B125="",COUNT(I125)=0),"",IF(I125=0,0,IF(COUNTIFS(tPrecios[Producto],B125,tPrecios[Fecha],"&lt;="&amp;'Configuración'!$C$8)=0,"",I125*SUMIFS(tPrecios[VL EUR],tPrecios[Producto],B125,tPrecios[Fecha],MAXIFS(tPrecios[Fecha],tPrecios[Producto],B125,tPrecios[Fecha],"&lt;="&amp;'Configuración'!$C$8)))))</f>
        <v/>
      </c>
      <c r="L125" s="14" t="str">
        <f>IF(OR(B125="",COUNT(K125)=0),"",K125-J125+SUMIFS(tOperaciones[Importe],tOperaciones[Producto],B125,tOperaciones[Tipo],"Cobro",tOperaciones[Fecha],"&gt;="&amp;F125,tOperaciones[Fecha],"&lt;="&amp;'Configuración'!$C$8))</f>
        <v/>
      </c>
      <c r="M125" s="45" t="str">
        <f>IF(OR(B125="",COUNT(L125)=0,H125+SUMIFS(tOperaciones[Importe],tOperaciones[Producto],B125,tOperaciones[Tipo],"Compra",tOperaciones[Fecha],"&lt;="&amp;'Configuración'!$C$8)=0),"",L125/(H125+SUMIFS(tOperaciones[Importe],tOperaciones[Producto],B125,tOperaciones[Tipo],"Compra",tOperaciones[Fecha],"&lt;="&amp;'Configuración'!$C$8)))</f>
        <v/>
      </c>
      <c r="N125" s="45" t="str">
        <f>IF(OR(B125="",COUNT(K125)=0,COUNT(tProductos[Valor])&lt;&gt;COUNTA(tProductos[ID]),SUM(tProductos[Valor])=0),"",K125/SUM(tProductos[Valor]))</f>
        <v/>
      </c>
    </row>
    <row r="126" ht="27.75" customHeight="1">
      <c r="A126" s="1"/>
      <c r="B126" s="10"/>
      <c r="C126" s="10"/>
      <c r="D126" s="10"/>
      <c r="E126" s="10"/>
      <c r="F126" s="11"/>
      <c r="G126" s="43"/>
      <c r="H126" s="13"/>
      <c r="I126" s="44" t="str">
        <f>IF(OR(B126="",'Configuración'!$C$8&lt;F126),"",G126+SUMIFS(tOperaciones[Participaciones],tOperaciones[Producto],B126,tOperaciones[Tipo],"Compra",tOperaciones[Fecha],"&gt;="&amp;F126,tOperaciones[Fecha],"&lt;="&amp;'Configuración'!$C$8)-SUMIFS(tOperaciones[Participaciones],tOperaciones[Producto],B126,tOperaciones[Tipo],"Venta",tOperaciones[Fecha],"&gt;="&amp;F126,tOperaciones[Fecha],"&lt;="&amp;'Configuración'!$C$8))</f>
        <v/>
      </c>
      <c r="J126" s="14" t="str">
        <f>IF(OR(B126="",'Configuración'!$C$8&lt;F126),"",H126+SUMIFS(tOperaciones[Importe],tOperaciones[Producto],B126,tOperaciones[Tipo],"Compra",tOperaciones[Fecha],"&gt;="&amp;F126,tOperaciones[Fecha],"&lt;="&amp;'Configuración'!$C$8)-SUMIFS(tOperaciones[Importe],tOperaciones[Producto],B126,tOperaciones[Tipo],"Venta",tOperaciones[Fecha],"&gt;="&amp;F126,tOperaciones[Fecha],"&lt;="&amp;'Configuración'!$C$8))</f>
        <v/>
      </c>
      <c r="K126" s="14" t="str">
        <f>IF(OR(B126="",COUNT(I126)=0),"",IF(I126=0,0,IF(COUNTIFS(tPrecios[Producto],B126,tPrecios[Fecha],"&lt;="&amp;'Configuración'!$C$8)=0,"",I126*SUMIFS(tPrecios[VL EUR],tPrecios[Producto],B126,tPrecios[Fecha],MAXIFS(tPrecios[Fecha],tPrecios[Producto],B126,tPrecios[Fecha],"&lt;="&amp;'Configuración'!$C$8)))))</f>
        <v/>
      </c>
      <c r="L126" s="14" t="str">
        <f>IF(OR(B126="",COUNT(K126)=0),"",K126-J126+SUMIFS(tOperaciones[Importe],tOperaciones[Producto],B126,tOperaciones[Tipo],"Cobro",tOperaciones[Fecha],"&gt;="&amp;F126,tOperaciones[Fecha],"&lt;="&amp;'Configuración'!$C$8))</f>
        <v/>
      </c>
      <c r="M126" s="45" t="str">
        <f>IF(OR(B126="",COUNT(L126)=0,H126+SUMIFS(tOperaciones[Importe],tOperaciones[Producto],B126,tOperaciones[Tipo],"Compra",tOperaciones[Fecha],"&lt;="&amp;'Configuración'!$C$8)=0),"",L126/(H126+SUMIFS(tOperaciones[Importe],tOperaciones[Producto],B126,tOperaciones[Tipo],"Compra",tOperaciones[Fecha],"&lt;="&amp;'Configuración'!$C$8)))</f>
        <v/>
      </c>
      <c r="N126" s="45" t="str">
        <f>IF(OR(B126="",COUNT(K126)=0,COUNT(tProductos[Valor])&lt;&gt;COUNTA(tProductos[ID]),SUM(tProductos[Valor])=0),"",K126/SUM(tProductos[Valor]))</f>
        <v/>
      </c>
    </row>
    <row r="127" ht="27.75" customHeight="1">
      <c r="A127" s="1"/>
      <c r="B127" s="10"/>
      <c r="C127" s="10"/>
      <c r="D127" s="10"/>
      <c r="E127" s="10"/>
      <c r="F127" s="11"/>
      <c r="G127" s="43"/>
      <c r="H127" s="13"/>
      <c r="I127" s="44" t="str">
        <f>IF(OR(B127="",'Configuración'!$C$8&lt;F127),"",G127+SUMIFS(tOperaciones[Participaciones],tOperaciones[Producto],B127,tOperaciones[Tipo],"Compra",tOperaciones[Fecha],"&gt;="&amp;F127,tOperaciones[Fecha],"&lt;="&amp;'Configuración'!$C$8)-SUMIFS(tOperaciones[Participaciones],tOperaciones[Producto],B127,tOperaciones[Tipo],"Venta",tOperaciones[Fecha],"&gt;="&amp;F127,tOperaciones[Fecha],"&lt;="&amp;'Configuración'!$C$8))</f>
        <v/>
      </c>
      <c r="J127" s="14" t="str">
        <f>IF(OR(B127="",'Configuración'!$C$8&lt;F127),"",H127+SUMIFS(tOperaciones[Importe],tOperaciones[Producto],B127,tOperaciones[Tipo],"Compra",tOperaciones[Fecha],"&gt;="&amp;F127,tOperaciones[Fecha],"&lt;="&amp;'Configuración'!$C$8)-SUMIFS(tOperaciones[Importe],tOperaciones[Producto],B127,tOperaciones[Tipo],"Venta",tOperaciones[Fecha],"&gt;="&amp;F127,tOperaciones[Fecha],"&lt;="&amp;'Configuración'!$C$8))</f>
        <v/>
      </c>
      <c r="K127" s="14" t="str">
        <f>IF(OR(B127="",COUNT(I127)=0),"",IF(I127=0,0,IF(COUNTIFS(tPrecios[Producto],B127,tPrecios[Fecha],"&lt;="&amp;'Configuración'!$C$8)=0,"",I127*SUMIFS(tPrecios[VL EUR],tPrecios[Producto],B127,tPrecios[Fecha],MAXIFS(tPrecios[Fecha],tPrecios[Producto],B127,tPrecios[Fecha],"&lt;="&amp;'Configuración'!$C$8)))))</f>
        <v/>
      </c>
      <c r="L127" s="14" t="str">
        <f>IF(OR(B127="",COUNT(K127)=0),"",K127-J127+SUMIFS(tOperaciones[Importe],tOperaciones[Producto],B127,tOperaciones[Tipo],"Cobro",tOperaciones[Fecha],"&gt;="&amp;F127,tOperaciones[Fecha],"&lt;="&amp;'Configuración'!$C$8))</f>
        <v/>
      </c>
      <c r="M127" s="45" t="str">
        <f>IF(OR(B127="",COUNT(L127)=0,H127+SUMIFS(tOperaciones[Importe],tOperaciones[Producto],B127,tOperaciones[Tipo],"Compra",tOperaciones[Fecha],"&lt;="&amp;'Configuración'!$C$8)=0),"",L127/(H127+SUMIFS(tOperaciones[Importe],tOperaciones[Producto],B127,tOperaciones[Tipo],"Compra",tOperaciones[Fecha],"&lt;="&amp;'Configuración'!$C$8)))</f>
        <v/>
      </c>
      <c r="N127" s="45" t="str">
        <f>IF(OR(B127="",COUNT(K127)=0,COUNT(tProductos[Valor])&lt;&gt;COUNTA(tProductos[ID]),SUM(tProductos[Valor])=0),"",K127/SUM(tProductos[Valor]))</f>
        <v/>
      </c>
    </row>
    <row r="128" ht="27.75" customHeight="1">
      <c r="A128" s="1"/>
      <c r="B128" s="10"/>
      <c r="C128" s="10"/>
      <c r="D128" s="10"/>
      <c r="E128" s="10"/>
      <c r="F128" s="11"/>
      <c r="G128" s="43"/>
      <c r="H128" s="13"/>
      <c r="I128" s="44" t="str">
        <f>IF(OR(B128="",'Configuración'!$C$8&lt;F128),"",G128+SUMIFS(tOperaciones[Participaciones],tOperaciones[Producto],B128,tOperaciones[Tipo],"Compra",tOperaciones[Fecha],"&gt;="&amp;F128,tOperaciones[Fecha],"&lt;="&amp;'Configuración'!$C$8)-SUMIFS(tOperaciones[Participaciones],tOperaciones[Producto],B128,tOperaciones[Tipo],"Venta",tOperaciones[Fecha],"&gt;="&amp;F128,tOperaciones[Fecha],"&lt;="&amp;'Configuración'!$C$8))</f>
        <v/>
      </c>
      <c r="J128" s="14" t="str">
        <f>IF(OR(B128="",'Configuración'!$C$8&lt;F128),"",H128+SUMIFS(tOperaciones[Importe],tOperaciones[Producto],B128,tOperaciones[Tipo],"Compra",tOperaciones[Fecha],"&gt;="&amp;F128,tOperaciones[Fecha],"&lt;="&amp;'Configuración'!$C$8)-SUMIFS(tOperaciones[Importe],tOperaciones[Producto],B128,tOperaciones[Tipo],"Venta",tOperaciones[Fecha],"&gt;="&amp;F128,tOperaciones[Fecha],"&lt;="&amp;'Configuración'!$C$8))</f>
        <v/>
      </c>
      <c r="K128" s="14" t="str">
        <f>IF(OR(B128="",COUNT(I128)=0),"",IF(I128=0,0,IF(COUNTIFS(tPrecios[Producto],B128,tPrecios[Fecha],"&lt;="&amp;'Configuración'!$C$8)=0,"",I128*SUMIFS(tPrecios[VL EUR],tPrecios[Producto],B128,tPrecios[Fecha],MAXIFS(tPrecios[Fecha],tPrecios[Producto],B128,tPrecios[Fecha],"&lt;="&amp;'Configuración'!$C$8)))))</f>
        <v/>
      </c>
      <c r="L128" s="14" t="str">
        <f>IF(OR(B128="",COUNT(K128)=0),"",K128-J128+SUMIFS(tOperaciones[Importe],tOperaciones[Producto],B128,tOperaciones[Tipo],"Cobro",tOperaciones[Fecha],"&gt;="&amp;F128,tOperaciones[Fecha],"&lt;="&amp;'Configuración'!$C$8))</f>
        <v/>
      </c>
      <c r="M128" s="45" t="str">
        <f>IF(OR(B128="",COUNT(L128)=0,H128+SUMIFS(tOperaciones[Importe],tOperaciones[Producto],B128,tOperaciones[Tipo],"Compra",tOperaciones[Fecha],"&lt;="&amp;'Configuración'!$C$8)=0),"",L128/(H128+SUMIFS(tOperaciones[Importe],tOperaciones[Producto],B128,tOperaciones[Tipo],"Compra",tOperaciones[Fecha],"&lt;="&amp;'Configuración'!$C$8)))</f>
        <v/>
      </c>
      <c r="N128" s="45" t="str">
        <f>IF(OR(B128="",COUNT(K128)=0,COUNT(tProductos[Valor])&lt;&gt;COUNTA(tProductos[ID]),SUM(tProductos[Valor])=0),"",K128/SUM(tProductos[Valor]))</f>
        <v/>
      </c>
    </row>
    <row r="129" ht="27.75" customHeight="1">
      <c r="A129" s="1"/>
      <c r="B129" s="10"/>
      <c r="C129" s="10"/>
      <c r="D129" s="10"/>
      <c r="E129" s="10"/>
      <c r="F129" s="11"/>
      <c r="G129" s="43"/>
      <c r="H129" s="13"/>
      <c r="I129" s="44" t="str">
        <f>IF(OR(B129="",'Configuración'!$C$8&lt;F129),"",G129+SUMIFS(tOperaciones[Participaciones],tOperaciones[Producto],B129,tOperaciones[Tipo],"Compra",tOperaciones[Fecha],"&gt;="&amp;F129,tOperaciones[Fecha],"&lt;="&amp;'Configuración'!$C$8)-SUMIFS(tOperaciones[Participaciones],tOperaciones[Producto],B129,tOperaciones[Tipo],"Venta",tOperaciones[Fecha],"&gt;="&amp;F129,tOperaciones[Fecha],"&lt;="&amp;'Configuración'!$C$8))</f>
        <v/>
      </c>
      <c r="J129" s="14" t="str">
        <f>IF(OR(B129="",'Configuración'!$C$8&lt;F129),"",H129+SUMIFS(tOperaciones[Importe],tOperaciones[Producto],B129,tOperaciones[Tipo],"Compra",tOperaciones[Fecha],"&gt;="&amp;F129,tOperaciones[Fecha],"&lt;="&amp;'Configuración'!$C$8)-SUMIFS(tOperaciones[Importe],tOperaciones[Producto],B129,tOperaciones[Tipo],"Venta",tOperaciones[Fecha],"&gt;="&amp;F129,tOperaciones[Fecha],"&lt;="&amp;'Configuración'!$C$8))</f>
        <v/>
      </c>
      <c r="K129" s="14" t="str">
        <f>IF(OR(B129="",COUNT(I129)=0),"",IF(I129=0,0,IF(COUNTIFS(tPrecios[Producto],B129,tPrecios[Fecha],"&lt;="&amp;'Configuración'!$C$8)=0,"",I129*SUMIFS(tPrecios[VL EUR],tPrecios[Producto],B129,tPrecios[Fecha],MAXIFS(tPrecios[Fecha],tPrecios[Producto],B129,tPrecios[Fecha],"&lt;="&amp;'Configuración'!$C$8)))))</f>
        <v/>
      </c>
      <c r="L129" s="14" t="str">
        <f>IF(OR(B129="",COUNT(K129)=0),"",K129-J129+SUMIFS(tOperaciones[Importe],tOperaciones[Producto],B129,tOperaciones[Tipo],"Cobro",tOperaciones[Fecha],"&gt;="&amp;F129,tOperaciones[Fecha],"&lt;="&amp;'Configuración'!$C$8))</f>
        <v/>
      </c>
      <c r="M129" s="45" t="str">
        <f>IF(OR(B129="",COUNT(L129)=0,H129+SUMIFS(tOperaciones[Importe],tOperaciones[Producto],B129,tOperaciones[Tipo],"Compra",tOperaciones[Fecha],"&lt;="&amp;'Configuración'!$C$8)=0),"",L129/(H129+SUMIFS(tOperaciones[Importe],tOperaciones[Producto],B129,tOperaciones[Tipo],"Compra",tOperaciones[Fecha],"&lt;="&amp;'Configuración'!$C$8)))</f>
        <v/>
      </c>
      <c r="N129" s="45" t="str">
        <f>IF(OR(B129="",COUNT(K129)=0,COUNT(tProductos[Valor])&lt;&gt;COUNTA(tProductos[ID]),SUM(tProductos[Valor])=0),"",K129/SUM(tProductos[Valor]))</f>
        <v/>
      </c>
    </row>
    <row r="130" ht="27.75" customHeight="1">
      <c r="A130" s="1"/>
      <c r="B130" s="10"/>
      <c r="C130" s="10"/>
      <c r="D130" s="10"/>
      <c r="E130" s="10"/>
      <c r="F130" s="11"/>
      <c r="G130" s="43"/>
      <c r="H130" s="13"/>
      <c r="I130" s="44" t="str">
        <f>IF(OR(B130="",'Configuración'!$C$8&lt;F130),"",G130+SUMIFS(tOperaciones[Participaciones],tOperaciones[Producto],B130,tOperaciones[Tipo],"Compra",tOperaciones[Fecha],"&gt;="&amp;F130,tOperaciones[Fecha],"&lt;="&amp;'Configuración'!$C$8)-SUMIFS(tOperaciones[Participaciones],tOperaciones[Producto],B130,tOperaciones[Tipo],"Venta",tOperaciones[Fecha],"&gt;="&amp;F130,tOperaciones[Fecha],"&lt;="&amp;'Configuración'!$C$8))</f>
        <v/>
      </c>
      <c r="J130" s="14" t="str">
        <f>IF(OR(B130="",'Configuración'!$C$8&lt;F130),"",H130+SUMIFS(tOperaciones[Importe],tOperaciones[Producto],B130,tOperaciones[Tipo],"Compra",tOperaciones[Fecha],"&gt;="&amp;F130,tOperaciones[Fecha],"&lt;="&amp;'Configuración'!$C$8)-SUMIFS(tOperaciones[Importe],tOperaciones[Producto],B130,tOperaciones[Tipo],"Venta",tOperaciones[Fecha],"&gt;="&amp;F130,tOperaciones[Fecha],"&lt;="&amp;'Configuración'!$C$8))</f>
        <v/>
      </c>
      <c r="K130" s="14" t="str">
        <f>IF(OR(B130="",COUNT(I130)=0),"",IF(I130=0,0,IF(COUNTIFS(tPrecios[Producto],B130,tPrecios[Fecha],"&lt;="&amp;'Configuración'!$C$8)=0,"",I130*SUMIFS(tPrecios[VL EUR],tPrecios[Producto],B130,tPrecios[Fecha],MAXIFS(tPrecios[Fecha],tPrecios[Producto],B130,tPrecios[Fecha],"&lt;="&amp;'Configuración'!$C$8)))))</f>
        <v/>
      </c>
      <c r="L130" s="14" t="str">
        <f>IF(OR(B130="",COUNT(K130)=0),"",K130-J130+SUMIFS(tOperaciones[Importe],tOperaciones[Producto],B130,tOperaciones[Tipo],"Cobro",tOperaciones[Fecha],"&gt;="&amp;F130,tOperaciones[Fecha],"&lt;="&amp;'Configuración'!$C$8))</f>
        <v/>
      </c>
      <c r="M130" s="45" t="str">
        <f>IF(OR(B130="",COUNT(L130)=0,H130+SUMIFS(tOperaciones[Importe],tOperaciones[Producto],B130,tOperaciones[Tipo],"Compra",tOperaciones[Fecha],"&lt;="&amp;'Configuración'!$C$8)=0),"",L130/(H130+SUMIFS(tOperaciones[Importe],tOperaciones[Producto],B130,tOperaciones[Tipo],"Compra",tOperaciones[Fecha],"&lt;="&amp;'Configuración'!$C$8)))</f>
        <v/>
      </c>
      <c r="N130" s="45" t="str">
        <f>IF(OR(B130="",COUNT(K130)=0,COUNT(tProductos[Valor])&lt;&gt;COUNTA(tProductos[ID]),SUM(tProductos[Valor])=0),"",K130/SUM(tProductos[Valor]))</f>
        <v/>
      </c>
    </row>
    <row r="131" ht="27.75" customHeight="1">
      <c r="A131" s="1"/>
      <c r="B131" s="10"/>
      <c r="C131" s="10"/>
      <c r="D131" s="10"/>
      <c r="E131" s="10"/>
      <c r="F131" s="11"/>
      <c r="G131" s="43"/>
      <c r="H131" s="13"/>
      <c r="I131" s="44" t="str">
        <f>IF(OR(B131="",'Configuración'!$C$8&lt;F131),"",G131+SUMIFS(tOperaciones[Participaciones],tOperaciones[Producto],B131,tOperaciones[Tipo],"Compra",tOperaciones[Fecha],"&gt;="&amp;F131,tOperaciones[Fecha],"&lt;="&amp;'Configuración'!$C$8)-SUMIFS(tOperaciones[Participaciones],tOperaciones[Producto],B131,tOperaciones[Tipo],"Venta",tOperaciones[Fecha],"&gt;="&amp;F131,tOperaciones[Fecha],"&lt;="&amp;'Configuración'!$C$8))</f>
        <v/>
      </c>
      <c r="J131" s="14" t="str">
        <f>IF(OR(B131="",'Configuración'!$C$8&lt;F131),"",H131+SUMIFS(tOperaciones[Importe],tOperaciones[Producto],B131,tOperaciones[Tipo],"Compra",tOperaciones[Fecha],"&gt;="&amp;F131,tOperaciones[Fecha],"&lt;="&amp;'Configuración'!$C$8)-SUMIFS(tOperaciones[Importe],tOperaciones[Producto],B131,tOperaciones[Tipo],"Venta",tOperaciones[Fecha],"&gt;="&amp;F131,tOperaciones[Fecha],"&lt;="&amp;'Configuración'!$C$8))</f>
        <v/>
      </c>
      <c r="K131" s="14" t="str">
        <f>IF(OR(B131="",COUNT(I131)=0),"",IF(I131=0,0,IF(COUNTIFS(tPrecios[Producto],B131,tPrecios[Fecha],"&lt;="&amp;'Configuración'!$C$8)=0,"",I131*SUMIFS(tPrecios[VL EUR],tPrecios[Producto],B131,tPrecios[Fecha],MAXIFS(tPrecios[Fecha],tPrecios[Producto],B131,tPrecios[Fecha],"&lt;="&amp;'Configuración'!$C$8)))))</f>
        <v/>
      </c>
      <c r="L131" s="14" t="str">
        <f>IF(OR(B131="",COUNT(K131)=0),"",K131-J131+SUMIFS(tOperaciones[Importe],tOperaciones[Producto],B131,tOperaciones[Tipo],"Cobro",tOperaciones[Fecha],"&gt;="&amp;F131,tOperaciones[Fecha],"&lt;="&amp;'Configuración'!$C$8))</f>
        <v/>
      </c>
      <c r="M131" s="45" t="str">
        <f>IF(OR(B131="",COUNT(L131)=0,H131+SUMIFS(tOperaciones[Importe],tOperaciones[Producto],B131,tOperaciones[Tipo],"Compra",tOperaciones[Fecha],"&lt;="&amp;'Configuración'!$C$8)=0),"",L131/(H131+SUMIFS(tOperaciones[Importe],tOperaciones[Producto],B131,tOperaciones[Tipo],"Compra",tOperaciones[Fecha],"&lt;="&amp;'Configuración'!$C$8)))</f>
        <v/>
      </c>
      <c r="N131" s="45" t="str">
        <f>IF(OR(B131="",COUNT(K131)=0,COUNT(tProductos[Valor])&lt;&gt;COUNTA(tProductos[ID]),SUM(tProductos[Valor])=0),"",K131/SUM(tProductos[Valor]))</f>
        <v/>
      </c>
    </row>
    <row r="132" ht="27.75" customHeight="1">
      <c r="A132" s="1"/>
      <c r="B132" s="10"/>
      <c r="C132" s="10"/>
      <c r="D132" s="10"/>
      <c r="E132" s="10"/>
      <c r="F132" s="11"/>
      <c r="G132" s="43"/>
      <c r="H132" s="13"/>
      <c r="I132" s="44" t="str">
        <f>IF(OR(B132="",'Configuración'!$C$8&lt;F132),"",G132+SUMIFS(tOperaciones[Participaciones],tOperaciones[Producto],B132,tOperaciones[Tipo],"Compra",tOperaciones[Fecha],"&gt;="&amp;F132,tOperaciones[Fecha],"&lt;="&amp;'Configuración'!$C$8)-SUMIFS(tOperaciones[Participaciones],tOperaciones[Producto],B132,tOperaciones[Tipo],"Venta",tOperaciones[Fecha],"&gt;="&amp;F132,tOperaciones[Fecha],"&lt;="&amp;'Configuración'!$C$8))</f>
        <v/>
      </c>
      <c r="J132" s="14" t="str">
        <f>IF(OR(B132="",'Configuración'!$C$8&lt;F132),"",H132+SUMIFS(tOperaciones[Importe],tOperaciones[Producto],B132,tOperaciones[Tipo],"Compra",tOperaciones[Fecha],"&gt;="&amp;F132,tOperaciones[Fecha],"&lt;="&amp;'Configuración'!$C$8)-SUMIFS(tOperaciones[Importe],tOperaciones[Producto],B132,tOperaciones[Tipo],"Venta",tOperaciones[Fecha],"&gt;="&amp;F132,tOperaciones[Fecha],"&lt;="&amp;'Configuración'!$C$8))</f>
        <v/>
      </c>
      <c r="K132" s="14" t="str">
        <f>IF(OR(B132="",COUNT(I132)=0),"",IF(I132=0,0,IF(COUNTIFS(tPrecios[Producto],B132,tPrecios[Fecha],"&lt;="&amp;'Configuración'!$C$8)=0,"",I132*SUMIFS(tPrecios[VL EUR],tPrecios[Producto],B132,tPrecios[Fecha],MAXIFS(tPrecios[Fecha],tPrecios[Producto],B132,tPrecios[Fecha],"&lt;="&amp;'Configuración'!$C$8)))))</f>
        <v/>
      </c>
      <c r="L132" s="14" t="str">
        <f>IF(OR(B132="",COUNT(K132)=0),"",K132-J132+SUMIFS(tOperaciones[Importe],tOperaciones[Producto],B132,tOperaciones[Tipo],"Cobro",tOperaciones[Fecha],"&gt;="&amp;F132,tOperaciones[Fecha],"&lt;="&amp;'Configuración'!$C$8))</f>
        <v/>
      </c>
      <c r="M132" s="45" t="str">
        <f>IF(OR(B132="",COUNT(L132)=0,H132+SUMIFS(tOperaciones[Importe],tOperaciones[Producto],B132,tOperaciones[Tipo],"Compra",tOperaciones[Fecha],"&lt;="&amp;'Configuración'!$C$8)=0),"",L132/(H132+SUMIFS(tOperaciones[Importe],tOperaciones[Producto],B132,tOperaciones[Tipo],"Compra",tOperaciones[Fecha],"&lt;="&amp;'Configuración'!$C$8)))</f>
        <v/>
      </c>
      <c r="N132" s="45" t="str">
        <f>IF(OR(B132="",COUNT(K132)=0,COUNT(tProductos[Valor])&lt;&gt;COUNTA(tProductos[ID]),SUM(tProductos[Valor])=0),"",K132/SUM(tProductos[Valor]))</f>
        <v/>
      </c>
    </row>
    <row r="133" ht="27.75" customHeight="1">
      <c r="A133" s="1"/>
      <c r="B133" s="10"/>
      <c r="C133" s="10"/>
      <c r="D133" s="10"/>
      <c r="E133" s="10"/>
      <c r="F133" s="11"/>
      <c r="G133" s="43"/>
      <c r="H133" s="13"/>
      <c r="I133" s="44" t="str">
        <f>IF(OR(B133="",'Configuración'!$C$8&lt;F133),"",G133+SUMIFS(tOperaciones[Participaciones],tOperaciones[Producto],B133,tOperaciones[Tipo],"Compra",tOperaciones[Fecha],"&gt;="&amp;F133,tOperaciones[Fecha],"&lt;="&amp;'Configuración'!$C$8)-SUMIFS(tOperaciones[Participaciones],tOperaciones[Producto],B133,tOperaciones[Tipo],"Venta",tOperaciones[Fecha],"&gt;="&amp;F133,tOperaciones[Fecha],"&lt;="&amp;'Configuración'!$C$8))</f>
        <v/>
      </c>
      <c r="J133" s="14" t="str">
        <f>IF(OR(B133="",'Configuración'!$C$8&lt;F133),"",H133+SUMIFS(tOperaciones[Importe],tOperaciones[Producto],B133,tOperaciones[Tipo],"Compra",tOperaciones[Fecha],"&gt;="&amp;F133,tOperaciones[Fecha],"&lt;="&amp;'Configuración'!$C$8)-SUMIFS(tOperaciones[Importe],tOperaciones[Producto],B133,tOperaciones[Tipo],"Venta",tOperaciones[Fecha],"&gt;="&amp;F133,tOperaciones[Fecha],"&lt;="&amp;'Configuración'!$C$8))</f>
        <v/>
      </c>
      <c r="K133" s="14" t="str">
        <f>IF(OR(B133="",COUNT(I133)=0),"",IF(I133=0,0,IF(COUNTIFS(tPrecios[Producto],B133,tPrecios[Fecha],"&lt;="&amp;'Configuración'!$C$8)=0,"",I133*SUMIFS(tPrecios[VL EUR],tPrecios[Producto],B133,tPrecios[Fecha],MAXIFS(tPrecios[Fecha],tPrecios[Producto],B133,tPrecios[Fecha],"&lt;="&amp;'Configuración'!$C$8)))))</f>
        <v/>
      </c>
      <c r="L133" s="14" t="str">
        <f>IF(OR(B133="",COUNT(K133)=0),"",K133-J133+SUMIFS(tOperaciones[Importe],tOperaciones[Producto],B133,tOperaciones[Tipo],"Cobro",tOperaciones[Fecha],"&gt;="&amp;F133,tOperaciones[Fecha],"&lt;="&amp;'Configuración'!$C$8))</f>
        <v/>
      </c>
      <c r="M133" s="45" t="str">
        <f>IF(OR(B133="",COUNT(L133)=0,H133+SUMIFS(tOperaciones[Importe],tOperaciones[Producto],B133,tOperaciones[Tipo],"Compra",tOperaciones[Fecha],"&lt;="&amp;'Configuración'!$C$8)=0),"",L133/(H133+SUMIFS(tOperaciones[Importe],tOperaciones[Producto],B133,tOperaciones[Tipo],"Compra",tOperaciones[Fecha],"&lt;="&amp;'Configuración'!$C$8)))</f>
        <v/>
      </c>
      <c r="N133" s="45" t="str">
        <f>IF(OR(B133="",COUNT(K133)=0,COUNT(tProductos[Valor])&lt;&gt;COUNTA(tProductos[ID]),SUM(tProductos[Valor])=0),"",K133/SUM(tProductos[Valor]))</f>
        <v/>
      </c>
    </row>
    <row r="134" ht="27.75" customHeight="1">
      <c r="A134" s="1"/>
      <c r="B134" s="10"/>
      <c r="C134" s="10"/>
      <c r="D134" s="10"/>
      <c r="E134" s="10"/>
      <c r="F134" s="11"/>
      <c r="G134" s="43"/>
      <c r="H134" s="13"/>
      <c r="I134" s="44" t="str">
        <f>IF(OR(B134="",'Configuración'!$C$8&lt;F134),"",G134+SUMIFS(tOperaciones[Participaciones],tOperaciones[Producto],B134,tOperaciones[Tipo],"Compra",tOperaciones[Fecha],"&gt;="&amp;F134,tOperaciones[Fecha],"&lt;="&amp;'Configuración'!$C$8)-SUMIFS(tOperaciones[Participaciones],tOperaciones[Producto],B134,tOperaciones[Tipo],"Venta",tOperaciones[Fecha],"&gt;="&amp;F134,tOperaciones[Fecha],"&lt;="&amp;'Configuración'!$C$8))</f>
        <v/>
      </c>
      <c r="J134" s="14" t="str">
        <f>IF(OR(B134="",'Configuración'!$C$8&lt;F134),"",H134+SUMIFS(tOperaciones[Importe],tOperaciones[Producto],B134,tOperaciones[Tipo],"Compra",tOperaciones[Fecha],"&gt;="&amp;F134,tOperaciones[Fecha],"&lt;="&amp;'Configuración'!$C$8)-SUMIFS(tOperaciones[Importe],tOperaciones[Producto],B134,tOperaciones[Tipo],"Venta",tOperaciones[Fecha],"&gt;="&amp;F134,tOperaciones[Fecha],"&lt;="&amp;'Configuración'!$C$8))</f>
        <v/>
      </c>
      <c r="K134" s="14" t="str">
        <f>IF(OR(B134="",COUNT(I134)=0),"",IF(I134=0,0,IF(COUNTIFS(tPrecios[Producto],B134,tPrecios[Fecha],"&lt;="&amp;'Configuración'!$C$8)=0,"",I134*SUMIFS(tPrecios[VL EUR],tPrecios[Producto],B134,tPrecios[Fecha],MAXIFS(tPrecios[Fecha],tPrecios[Producto],B134,tPrecios[Fecha],"&lt;="&amp;'Configuración'!$C$8)))))</f>
        <v/>
      </c>
      <c r="L134" s="14" t="str">
        <f>IF(OR(B134="",COUNT(K134)=0),"",K134-J134+SUMIFS(tOperaciones[Importe],tOperaciones[Producto],B134,tOperaciones[Tipo],"Cobro",tOperaciones[Fecha],"&gt;="&amp;F134,tOperaciones[Fecha],"&lt;="&amp;'Configuración'!$C$8))</f>
        <v/>
      </c>
      <c r="M134" s="45" t="str">
        <f>IF(OR(B134="",COUNT(L134)=0,H134+SUMIFS(tOperaciones[Importe],tOperaciones[Producto],B134,tOperaciones[Tipo],"Compra",tOperaciones[Fecha],"&lt;="&amp;'Configuración'!$C$8)=0),"",L134/(H134+SUMIFS(tOperaciones[Importe],tOperaciones[Producto],B134,tOperaciones[Tipo],"Compra",tOperaciones[Fecha],"&lt;="&amp;'Configuración'!$C$8)))</f>
        <v/>
      </c>
      <c r="N134" s="45" t="str">
        <f>IF(OR(B134="",COUNT(K134)=0,COUNT(tProductos[Valor])&lt;&gt;COUNTA(tProductos[ID]),SUM(tProductos[Valor])=0),"",K134/SUM(tProductos[Valor]))</f>
        <v/>
      </c>
    </row>
    <row r="135" ht="27.75" customHeight="1">
      <c r="A135" s="1"/>
      <c r="B135" s="10"/>
      <c r="C135" s="10"/>
      <c r="D135" s="10"/>
      <c r="E135" s="10"/>
      <c r="F135" s="11"/>
      <c r="G135" s="43"/>
      <c r="H135" s="13"/>
      <c r="I135" s="44" t="str">
        <f>IF(OR(B135="",'Configuración'!$C$8&lt;F135),"",G135+SUMIFS(tOperaciones[Participaciones],tOperaciones[Producto],B135,tOperaciones[Tipo],"Compra",tOperaciones[Fecha],"&gt;="&amp;F135,tOperaciones[Fecha],"&lt;="&amp;'Configuración'!$C$8)-SUMIFS(tOperaciones[Participaciones],tOperaciones[Producto],B135,tOperaciones[Tipo],"Venta",tOperaciones[Fecha],"&gt;="&amp;F135,tOperaciones[Fecha],"&lt;="&amp;'Configuración'!$C$8))</f>
        <v/>
      </c>
      <c r="J135" s="14" t="str">
        <f>IF(OR(B135="",'Configuración'!$C$8&lt;F135),"",H135+SUMIFS(tOperaciones[Importe],tOperaciones[Producto],B135,tOperaciones[Tipo],"Compra",tOperaciones[Fecha],"&gt;="&amp;F135,tOperaciones[Fecha],"&lt;="&amp;'Configuración'!$C$8)-SUMIFS(tOperaciones[Importe],tOperaciones[Producto],B135,tOperaciones[Tipo],"Venta",tOperaciones[Fecha],"&gt;="&amp;F135,tOperaciones[Fecha],"&lt;="&amp;'Configuración'!$C$8))</f>
        <v/>
      </c>
      <c r="K135" s="14" t="str">
        <f>IF(OR(B135="",COUNT(I135)=0),"",IF(I135=0,0,IF(COUNTIFS(tPrecios[Producto],B135,tPrecios[Fecha],"&lt;="&amp;'Configuración'!$C$8)=0,"",I135*SUMIFS(tPrecios[VL EUR],tPrecios[Producto],B135,tPrecios[Fecha],MAXIFS(tPrecios[Fecha],tPrecios[Producto],B135,tPrecios[Fecha],"&lt;="&amp;'Configuración'!$C$8)))))</f>
        <v/>
      </c>
      <c r="L135" s="14" t="str">
        <f>IF(OR(B135="",COUNT(K135)=0),"",K135-J135+SUMIFS(tOperaciones[Importe],tOperaciones[Producto],B135,tOperaciones[Tipo],"Cobro",tOperaciones[Fecha],"&gt;="&amp;F135,tOperaciones[Fecha],"&lt;="&amp;'Configuración'!$C$8))</f>
        <v/>
      </c>
      <c r="M135" s="45" t="str">
        <f>IF(OR(B135="",COUNT(L135)=0,H135+SUMIFS(tOperaciones[Importe],tOperaciones[Producto],B135,tOperaciones[Tipo],"Compra",tOperaciones[Fecha],"&lt;="&amp;'Configuración'!$C$8)=0),"",L135/(H135+SUMIFS(tOperaciones[Importe],tOperaciones[Producto],B135,tOperaciones[Tipo],"Compra",tOperaciones[Fecha],"&lt;="&amp;'Configuración'!$C$8)))</f>
        <v/>
      </c>
      <c r="N135" s="45" t="str">
        <f>IF(OR(B135="",COUNT(K135)=0,COUNT(tProductos[Valor])&lt;&gt;COUNTA(tProductos[ID]),SUM(tProductos[Valor])=0),"",K135/SUM(tProductos[Valor]))</f>
        <v/>
      </c>
    </row>
    <row r="136" ht="27.75" customHeight="1">
      <c r="A136" s="1"/>
      <c r="B136" s="10"/>
      <c r="C136" s="10"/>
      <c r="D136" s="10"/>
      <c r="E136" s="10"/>
      <c r="F136" s="11"/>
      <c r="G136" s="43"/>
      <c r="H136" s="13"/>
      <c r="I136" s="44" t="str">
        <f>IF(OR(B136="",'Configuración'!$C$8&lt;F136),"",G136+SUMIFS(tOperaciones[Participaciones],tOperaciones[Producto],B136,tOperaciones[Tipo],"Compra",tOperaciones[Fecha],"&gt;="&amp;F136,tOperaciones[Fecha],"&lt;="&amp;'Configuración'!$C$8)-SUMIFS(tOperaciones[Participaciones],tOperaciones[Producto],B136,tOperaciones[Tipo],"Venta",tOperaciones[Fecha],"&gt;="&amp;F136,tOperaciones[Fecha],"&lt;="&amp;'Configuración'!$C$8))</f>
        <v/>
      </c>
      <c r="J136" s="14" t="str">
        <f>IF(OR(B136="",'Configuración'!$C$8&lt;F136),"",H136+SUMIFS(tOperaciones[Importe],tOperaciones[Producto],B136,tOperaciones[Tipo],"Compra",tOperaciones[Fecha],"&gt;="&amp;F136,tOperaciones[Fecha],"&lt;="&amp;'Configuración'!$C$8)-SUMIFS(tOperaciones[Importe],tOperaciones[Producto],B136,tOperaciones[Tipo],"Venta",tOperaciones[Fecha],"&gt;="&amp;F136,tOperaciones[Fecha],"&lt;="&amp;'Configuración'!$C$8))</f>
        <v/>
      </c>
      <c r="K136" s="14" t="str">
        <f>IF(OR(B136="",COUNT(I136)=0),"",IF(I136=0,0,IF(COUNTIFS(tPrecios[Producto],B136,tPrecios[Fecha],"&lt;="&amp;'Configuración'!$C$8)=0,"",I136*SUMIFS(tPrecios[VL EUR],tPrecios[Producto],B136,tPrecios[Fecha],MAXIFS(tPrecios[Fecha],tPrecios[Producto],B136,tPrecios[Fecha],"&lt;="&amp;'Configuración'!$C$8)))))</f>
        <v/>
      </c>
      <c r="L136" s="14" t="str">
        <f>IF(OR(B136="",COUNT(K136)=0),"",K136-J136+SUMIFS(tOperaciones[Importe],tOperaciones[Producto],B136,tOperaciones[Tipo],"Cobro",tOperaciones[Fecha],"&gt;="&amp;F136,tOperaciones[Fecha],"&lt;="&amp;'Configuración'!$C$8))</f>
        <v/>
      </c>
      <c r="M136" s="45" t="str">
        <f>IF(OR(B136="",COUNT(L136)=0,H136+SUMIFS(tOperaciones[Importe],tOperaciones[Producto],B136,tOperaciones[Tipo],"Compra",tOperaciones[Fecha],"&lt;="&amp;'Configuración'!$C$8)=0),"",L136/(H136+SUMIFS(tOperaciones[Importe],tOperaciones[Producto],B136,tOperaciones[Tipo],"Compra",tOperaciones[Fecha],"&lt;="&amp;'Configuración'!$C$8)))</f>
        <v/>
      </c>
      <c r="N136" s="45" t="str">
        <f>IF(OR(B136="",COUNT(K136)=0,COUNT(tProductos[Valor])&lt;&gt;COUNTA(tProductos[ID]),SUM(tProductos[Valor])=0),"",K136/SUM(tProductos[Valor]))</f>
        <v/>
      </c>
    </row>
    <row r="137" ht="27.75" customHeight="1">
      <c r="A137" s="1"/>
      <c r="B137" s="10"/>
      <c r="C137" s="10"/>
      <c r="D137" s="10"/>
      <c r="E137" s="10"/>
      <c r="F137" s="11"/>
      <c r="G137" s="43"/>
      <c r="H137" s="13"/>
      <c r="I137" s="44" t="str">
        <f>IF(OR(B137="",'Configuración'!$C$8&lt;F137),"",G137+SUMIFS(tOperaciones[Participaciones],tOperaciones[Producto],B137,tOperaciones[Tipo],"Compra",tOperaciones[Fecha],"&gt;="&amp;F137,tOperaciones[Fecha],"&lt;="&amp;'Configuración'!$C$8)-SUMIFS(tOperaciones[Participaciones],tOperaciones[Producto],B137,tOperaciones[Tipo],"Venta",tOperaciones[Fecha],"&gt;="&amp;F137,tOperaciones[Fecha],"&lt;="&amp;'Configuración'!$C$8))</f>
        <v/>
      </c>
      <c r="J137" s="14" t="str">
        <f>IF(OR(B137="",'Configuración'!$C$8&lt;F137),"",H137+SUMIFS(tOperaciones[Importe],tOperaciones[Producto],B137,tOperaciones[Tipo],"Compra",tOperaciones[Fecha],"&gt;="&amp;F137,tOperaciones[Fecha],"&lt;="&amp;'Configuración'!$C$8)-SUMIFS(tOperaciones[Importe],tOperaciones[Producto],B137,tOperaciones[Tipo],"Venta",tOperaciones[Fecha],"&gt;="&amp;F137,tOperaciones[Fecha],"&lt;="&amp;'Configuración'!$C$8))</f>
        <v/>
      </c>
      <c r="K137" s="14" t="str">
        <f>IF(OR(B137="",COUNT(I137)=0),"",IF(I137=0,0,IF(COUNTIFS(tPrecios[Producto],B137,tPrecios[Fecha],"&lt;="&amp;'Configuración'!$C$8)=0,"",I137*SUMIFS(tPrecios[VL EUR],tPrecios[Producto],B137,tPrecios[Fecha],MAXIFS(tPrecios[Fecha],tPrecios[Producto],B137,tPrecios[Fecha],"&lt;="&amp;'Configuración'!$C$8)))))</f>
        <v/>
      </c>
      <c r="L137" s="14" t="str">
        <f>IF(OR(B137="",COUNT(K137)=0),"",K137-J137+SUMIFS(tOperaciones[Importe],tOperaciones[Producto],B137,tOperaciones[Tipo],"Cobro",tOperaciones[Fecha],"&gt;="&amp;F137,tOperaciones[Fecha],"&lt;="&amp;'Configuración'!$C$8))</f>
        <v/>
      </c>
      <c r="M137" s="45" t="str">
        <f>IF(OR(B137="",COUNT(L137)=0,H137+SUMIFS(tOperaciones[Importe],tOperaciones[Producto],B137,tOperaciones[Tipo],"Compra",tOperaciones[Fecha],"&lt;="&amp;'Configuración'!$C$8)=0),"",L137/(H137+SUMIFS(tOperaciones[Importe],tOperaciones[Producto],B137,tOperaciones[Tipo],"Compra",tOperaciones[Fecha],"&lt;="&amp;'Configuración'!$C$8)))</f>
        <v/>
      </c>
      <c r="N137" s="45" t="str">
        <f>IF(OR(B137="",COUNT(K137)=0,COUNT(tProductos[Valor])&lt;&gt;COUNTA(tProductos[ID]),SUM(tProductos[Valor])=0),"",K137/SUM(tProductos[Valor]))</f>
        <v/>
      </c>
    </row>
    <row r="138" ht="27.75" customHeight="1">
      <c r="A138" s="1"/>
      <c r="B138" s="10"/>
      <c r="C138" s="10"/>
      <c r="D138" s="10"/>
      <c r="E138" s="10"/>
      <c r="F138" s="11"/>
      <c r="G138" s="43"/>
      <c r="H138" s="13"/>
      <c r="I138" s="44" t="str">
        <f>IF(OR(B138="",'Configuración'!$C$8&lt;F138),"",G138+SUMIFS(tOperaciones[Participaciones],tOperaciones[Producto],B138,tOperaciones[Tipo],"Compra",tOperaciones[Fecha],"&gt;="&amp;F138,tOperaciones[Fecha],"&lt;="&amp;'Configuración'!$C$8)-SUMIFS(tOperaciones[Participaciones],tOperaciones[Producto],B138,tOperaciones[Tipo],"Venta",tOperaciones[Fecha],"&gt;="&amp;F138,tOperaciones[Fecha],"&lt;="&amp;'Configuración'!$C$8))</f>
        <v/>
      </c>
      <c r="J138" s="14" t="str">
        <f>IF(OR(B138="",'Configuración'!$C$8&lt;F138),"",H138+SUMIFS(tOperaciones[Importe],tOperaciones[Producto],B138,tOperaciones[Tipo],"Compra",tOperaciones[Fecha],"&gt;="&amp;F138,tOperaciones[Fecha],"&lt;="&amp;'Configuración'!$C$8)-SUMIFS(tOperaciones[Importe],tOperaciones[Producto],B138,tOperaciones[Tipo],"Venta",tOperaciones[Fecha],"&gt;="&amp;F138,tOperaciones[Fecha],"&lt;="&amp;'Configuración'!$C$8))</f>
        <v/>
      </c>
      <c r="K138" s="14" t="str">
        <f>IF(OR(B138="",COUNT(I138)=0),"",IF(I138=0,0,IF(COUNTIFS(tPrecios[Producto],B138,tPrecios[Fecha],"&lt;="&amp;'Configuración'!$C$8)=0,"",I138*SUMIFS(tPrecios[VL EUR],tPrecios[Producto],B138,tPrecios[Fecha],MAXIFS(tPrecios[Fecha],tPrecios[Producto],B138,tPrecios[Fecha],"&lt;="&amp;'Configuración'!$C$8)))))</f>
        <v/>
      </c>
      <c r="L138" s="14" t="str">
        <f>IF(OR(B138="",COUNT(K138)=0),"",K138-J138+SUMIFS(tOperaciones[Importe],tOperaciones[Producto],B138,tOperaciones[Tipo],"Cobro",tOperaciones[Fecha],"&gt;="&amp;F138,tOperaciones[Fecha],"&lt;="&amp;'Configuración'!$C$8))</f>
        <v/>
      </c>
      <c r="M138" s="45" t="str">
        <f>IF(OR(B138="",COUNT(L138)=0,H138+SUMIFS(tOperaciones[Importe],tOperaciones[Producto],B138,tOperaciones[Tipo],"Compra",tOperaciones[Fecha],"&lt;="&amp;'Configuración'!$C$8)=0),"",L138/(H138+SUMIFS(tOperaciones[Importe],tOperaciones[Producto],B138,tOperaciones[Tipo],"Compra",tOperaciones[Fecha],"&lt;="&amp;'Configuración'!$C$8)))</f>
        <v/>
      </c>
      <c r="N138" s="45" t="str">
        <f>IF(OR(B138="",COUNT(K138)=0,COUNT(tProductos[Valor])&lt;&gt;COUNTA(tProductos[ID]),SUM(tProductos[Valor])=0),"",K138/SUM(tProductos[Valor]))</f>
        <v/>
      </c>
    </row>
    <row r="139" ht="27.75" customHeight="1">
      <c r="A139" s="1"/>
      <c r="B139" s="10"/>
      <c r="C139" s="10"/>
      <c r="D139" s="10"/>
      <c r="E139" s="10"/>
      <c r="F139" s="11"/>
      <c r="G139" s="43"/>
      <c r="H139" s="13"/>
      <c r="I139" s="44" t="str">
        <f>IF(OR(B139="",'Configuración'!$C$8&lt;F139),"",G139+SUMIFS(tOperaciones[Participaciones],tOperaciones[Producto],B139,tOperaciones[Tipo],"Compra",tOperaciones[Fecha],"&gt;="&amp;F139,tOperaciones[Fecha],"&lt;="&amp;'Configuración'!$C$8)-SUMIFS(tOperaciones[Participaciones],tOperaciones[Producto],B139,tOperaciones[Tipo],"Venta",tOperaciones[Fecha],"&gt;="&amp;F139,tOperaciones[Fecha],"&lt;="&amp;'Configuración'!$C$8))</f>
        <v/>
      </c>
      <c r="J139" s="14" t="str">
        <f>IF(OR(B139="",'Configuración'!$C$8&lt;F139),"",H139+SUMIFS(tOperaciones[Importe],tOperaciones[Producto],B139,tOperaciones[Tipo],"Compra",tOperaciones[Fecha],"&gt;="&amp;F139,tOperaciones[Fecha],"&lt;="&amp;'Configuración'!$C$8)-SUMIFS(tOperaciones[Importe],tOperaciones[Producto],B139,tOperaciones[Tipo],"Venta",tOperaciones[Fecha],"&gt;="&amp;F139,tOperaciones[Fecha],"&lt;="&amp;'Configuración'!$C$8))</f>
        <v/>
      </c>
      <c r="K139" s="14" t="str">
        <f>IF(OR(B139="",COUNT(I139)=0),"",IF(I139=0,0,IF(COUNTIFS(tPrecios[Producto],B139,tPrecios[Fecha],"&lt;="&amp;'Configuración'!$C$8)=0,"",I139*SUMIFS(tPrecios[VL EUR],tPrecios[Producto],B139,tPrecios[Fecha],MAXIFS(tPrecios[Fecha],tPrecios[Producto],B139,tPrecios[Fecha],"&lt;="&amp;'Configuración'!$C$8)))))</f>
        <v/>
      </c>
      <c r="L139" s="14" t="str">
        <f>IF(OR(B139="",COUNT(K139)=0),"",K139-J139+SUMIFS(tOperaciones[Importe],tOperaciones[Producto],B139,tOperaciones[Tipo],"Cobro",tOperaciones[Fecha],"&gt;="&amp;F139,tOperaciones[Fecha],"&lt;="&amp;'Configuración'!$C$8))</f>
        <v/>
      </c>
      <c r="M139" s="45" t="str">
        <f>IF(OR(B139="",COUNT(L139)=0,H139+SUMIFS(tOperaciones[Importe],tOperaciones[Producto],B139,tOperaciones[Tipo],"Compra",tOperaciones[Fecha],"&lt;="&amp;'Configuración'!$C$8)=0),"",L139/(H139+SUMIFS(tOperaciones[Importe],tOperaciones[Producto],B139,tOperaciones[Tipo],"Compra",tOperaciones[Fecha],"&lt;="&amp;'Configuración'!$C$8)))</f>
        <v/>
      </c>
      <c r="N139" s="45" t="str">
        <f>IF(OR(B139="",COUNT(K139)=0,COUNT(tProductos[Valor])&lt;&gt;COUNTA(tProductos[ID]),SUM(tProductos[Valor])=0),"",K139/SUM(tProductos[Valor]))</f>
        <v/>
      </c>
    </row>
    <row r="140" ht="27.75" customHeight="1">
      <c r="A140" s="1"/>
      <c r="B140" s="10"/>
      <c r="C140" s="10"/>
      <c r="D140" s="10"/>
      <c r="E140" s="10"/>
      <c r="F140" s="11"/>
      <c r="G140" s="43"/>
      <c r="H140" s="13"/>
      <c r="I140" s="44" t="str">
        <f>IF(OR(B140="",'Configuración'!$C$8&lt;F140),"",G140+SUMIFS(tOperaciones[Participaciones],tOperaciones[Producto],B140,tOperaciones[Tipo],"Compra",tOperaciones[Fecha],"&gt;="&amp;F140,tOperaciones[Fecha],"&lt;="&amp;'Configuración'!$C$8)-SUMIFS(tOperaciones[Participaciones],tOperaciones[Producto],B140,tOperaciones[Tipo],"Venta",tOperaciones[Fecha],"&gt;="&amp;F140,tOperaciones[Fecha],"&lt;="&amp;'Configuración'!$C$8))</f>
        <v/>
      </c>
      <c r="J140" s="14" t="str">
        <f>IF(OR(B140="",'Configuración'!$C$8&lt;F140),"",H140+SUMIFS(tOperaciones[Importe],tOperaciones[Producto],B140,tOperaciones[Tipo],"Compra",tOperaciones[Fecha],"&gt;="&amp;F140,tOperaciones[Fecha],"&lt;="&amp;'Configuración'!$C$8)-SUMIFS(tOperaciones[Importe],tOperaciones[Producto],B140,tOperaciones[Tipo],"Venta",tOperaciones[Fecha],"&gt;="&amp;F140,tOperaciones[Fecha],"&lt;="&amp;'Configuración'!$C$8))</f>
        <v/>
      </c>
      <c r="K140" s="14" t="str">
        <f>IF(OR(B140="",COUNT(I140)=0),"",IF(I140=0,0,IF(COUNTIFS(tPrecios[Producto],B140,tPrecios[Fecha],"&lt;="&amp;'Configuración'!$C$8)=0,"",I140*SUMIFS(tPrecios[VL EUR],tPrecios[Producto],B140,tPrecios[Fecha],MAXIFS(tPrecios[Fecha],tPrecios[Producto],B140,tPrecios[Fecha],"&lt;="&amp;'Configuración'!$C$8)))))</f>
        <v/>
      </c>
      <c r="L140" s="14" t="str">
        <f>IF(OR(B140="",COUNT(K140)=0),"",K140-J140+SUMIFS(tOperaciones[Importe],tOperaciones[Producto],B140,tOperaciones[Tipo],"Cobro",tOperaciones[Fecha],"&gt;="&amp;F140,tOperaciones[Fecha],"&lt;="&amp;'Configuración'!$C$8))</f>
        <v/>
      </c>
      <c r="M140" s="45" t="str">
        <f>IF(OR(B140="",COUNT(L140)=0,H140+SUMIFS(tOperaciones[Importe],tOperaciones[Producto],B140,tOperaciones[Tipo],"Compra",tOperaciones[Fecha],"&lt;="&amp;'Configuración'!$C$8)=0),"",L140/(H140+SUMIFS(tOperaciones[Importe],tOperaciones[Producto],B140,tOperaciones[Tipo],"Compra",tOperaciones[Fecha],"&lt;="&amp;'Configuración'!$C$8)))</f>
        <v/>
      </c>
      <c r="N140" s="45" t="str">
        <f>IF(OR(B140="",COUNT(K140)=0,COUNT(tProductos[Valor])&lt;&gt;COUNTA(tProductos[ID]),SUM(tProductos[Valor])=0),"",K140/SUM(tProductos[Valor]))</f>
        <v/>
      </c>
    </row>
    <row r="141" ht="27.75" customHeight="1">
      <c r="A141" s="1"/>
      <c r="B141" s="10"/>
      <c r="C141" s="10"/>
      <c r="D141" s="10"/>
      <c r="E141" s="10"/>
      <c r="F141" s="11"/>
      <c r="G141" s="43"/>
      <c r="H141" s="13"/>
      <c r="I141" s="44" t="str">
        <f>IF(OR(B141="",'Configuración'!$C$8&lt;F141),"",G141+SUMIFS(tOperaciones[Participaciones],tOperaciones[Producto],B141,tOperaciones[Tipo],"Compra",tOperaciones[Fecha],"&gt;="&amp;F141,tOperaciones[Fecha],"&lt;="&amp;'Configuración'!$C$8)-SUMIFS(tOperaciones[Participaciones],tOperaciones[Producto],B141,tOperaciones[Tipo],"Venta",tOperaciones[Fecha],"&gt;="&amp;F141,tOperaciones[Fecha],"&lt;="&amp;'Configuración'!$C$8))</f>
        <v/>
      </c>
      <c r="J141" s="14" t="str">
        <f>IF(OR(B141="",'Configuración'!$C$8&lt;F141),"",H141+SUMIFS(tOperaciones[Importe],tOperaciones[Producto],B141,tOperaciones[Tipo],"Compra",tOperaciones[Fecha],"&gt;="&amp;F141,tOperaciones[Fecha],"&lt;="&amp;'Configuración'!$C$8)-SUMIFS(tOperaciones[Importe],tOperaciones[Producto],B141,tOperaciones[Tipo],"Venta",tOperaciones[Fecha],"&gt;="&amp;F141,tOperaciones[Fecha],"&lt;="&amp;'Configuración'!$C$8))</f>
        <v/>
      </c>
      <c r="K141" s="14" t="str">
        <f>IF(OR(B141="",COUNT(I141)=0),"",IF(I141=0,0,IF(COUNTIFS(tPrecios[Producto],B141,tPrecios[Fecha],"&lt;="&amp;'Configuración'!$C$8)=0,"",I141*SUMIFS(tPrecios[VL EUR],tPrecios[Producto],B141,tPrecios[Fecha],MAXIFS(tPrecios[Fecha],tPrecios[Producto],B141,tPrecios[Fecha],"&lt;="&amp;'Configuración'!$C$8)))))</f>
        <v/>
      </c>
      <c r="L141" s="14" t="str">
        <f>IF(OR(B141="",COUNT(K141)=0),"",K141-J141+SUMIFS(tOperaciones[Importe],tOperaciones[Producto],B141,tOperaciones[Tipo],"Cobro",tOperaciones[Fecha],"&gt;="&amp;F141,tOperaciones[Fecha],"&lt;="&amp;'Configuración'!$C$8))</f>
        <v/>
      </c>
      <c r="M141" s="45" t="str">
        <f>IF(OR(B141="",COUNT(L141)=0,H141+SUMIFS(tOperaciones[Importe],tOperaciones[Producto],B141,tOperaciones[Tipo],"Compra",tOperaciones[Fecha],"&lt;="&amp;'Configuración'!$C$8)=0),"",L141/(H141+SUMIFS(tOperaciones[Importe],tOperaciones[Producto],B141,tOperaciones[Tipo],"Compra",tOperaciones[Fecha],"&lt;="&amp;'Configuración'!$C$8)))</f>
        <v/>
      </c>
      <c r="N141" s="45" t="str">
        <f>IF(OR(B141="",COUNT(K141)=0,COUNT(tProductos[Valor])&lt;&gt;COUNTA(tProductos[ID]),SUM(tProductos[Valor])=0),"",K141/SUM(tProductos[Valor]))</f>
        <v/>
      </c>
    </row>
    <row r="142" ht="27.75" customHeight="1">
      <c r="A142" s="1"/>
      <c r="B142" s="10"/>
      <c r="C142" s="10"/>
      <c r="D142" s="10"/>
      <c r="E142" s="10"/>
      <c r="F142" s="11"/>
      <c r="G142" s="43"/>
      <c r="H142" s="13"/>
      <c r="I142" s="44" t="str">
        <f>IF(OR(B142="",'Configuración'!$C$8&lt;F142),"",G142+SUMIFS(tOperaciones[Participaciones],tOperaciones[Producto],B142,tOperaciones[Tipo],"Compra",tOperaciones[Fecha],"&gt;="&amp;F142,tOperaciones[Fecha],"&lt;="&amp;'Configuración'!$C$8)-SUMIFS(tOperaciones[Participaciones],tOperaciones[Producto],B142,tOperaciones[Tipo],"Venta",tOperaciones[Fecha],"&gt;="&amp;F142,tOperaciones[Fecha],"&lt;="&amp;'Configuración'!$C$8))</f>
        <v/>
      </c>
      <c r="J142" s="14" t="str">
        <f>IF(OR(B142="",'Configuración'!$C$8&lt;F142),"",H142+SUMIFS(tOperaciones[Importe],tOperaciones[Producto],B142,tOperaciones[Tipo],"Compra",tOperaciones[Fecha],"&gt;="&amp;F142,tOperaciones[Fecha],"&lt;="&amp;'Configuración'!$C$8)-SUMIFS(tOperaciones[Importe],tOperaciones[Producto],B142,tOperaciones[Tipo],"Venta",tOperaciones[Fecha],"&gt;="&amp;F142,tOperaciones[Fecha],"&lt;="&amp;'Configuración'!$C$8))</f>
        <v/>
      </c>
      <c r="K142" s="14" t="str">
        <f>IF(OR(B142="",COUNT(I142)=0),"",IF(I142=0,0,IF(COUNTIFS(tPrecios[Producto],B142,tPrecios[Fecha],"&lt;="&amp;'Configuración'!$C$8)=0,"",I142*SUMIFS(tPrecios[VL EUR],tPrecios[Producto],B142,tPrecios[Fecha],MAXIFS(tPrecios[Fecha],tPrecios[Producto],B142,tPrecios[Fecha],"&lt;="&amp;'Configuración'!$C$8)))))</f>
        <v/>
      </c>
      <c r="L142" s="14" t="str">
        <f>IF(OR(B142="",COUNT(K142)=0),"",K142-J142+SUMIFS(tOperaciones[Importe],tOperaciones[Producto],B142,tOperaciones[Tipo],"Cobro",tOperaciones[Fecha],"&gt;="&amp;F142,tOperaciones[Fecha],"&lt;="&amp;'Configuración'!$C$8))</f>
        <v/>
      </c>
      <c r="M142" s="45" t="str">
        <f>IF(OR(B142="",COUNT(L142)=0,H142+SUMIFS(tOperaciones[Importe],tOperaciones[Producto],B142,tOperaciones[Tipo],"Compra",tOperaciones[Fecha],"&lt;="&amp;'Configuración'!$C$8)=0),"",L142/(H142+SUMIFS(tOperaciones[Importe],tOperaciones[Producto],B142,tOperaciones[Tipo],"Compra",tOperaciones[Fecha],"&lt;="&amp;'Configuración'!$C$8)))</f>
        <v/>
      </c>
      <c r="N142" s="45" t="str">
        <f>IF(OR(B142="",COUNT(K142)=0,COUNT(tProductos[Valor])&lt;&gt;COUNTA(tProductos[ID]),SUM(tProductos[Valor])=0),"",K142/SUM(tProductos[Valor]))</f>
        <v/>
      </c>
    </row>
    <row r="143" ht="27.75" customHeight="1">
      <c r="A143" s="1"/>
      <c r="B143" s="10"/>
      <c r="C143" s="10"/>
      <c r="D143" s="10"/>
      <c r="E143" s="10"/>
      <c r="F143" s="11"/>
      <c r="G143" s="43"/>
      <c r="H143" s="13"/>
      <c r="I143" s="44" t="str">
        <f>IF(OR(B143="",'Configuración'!$C$8&lt;F143),"",G143+SUMIFS(tOperaciones[Participaciones],tOperaciones[Producto],B143,tOperaciones[Tipo],"Compra",tOperaciones[Fecha],"&gt;="&amp;F143,tOperaciones[Fecha],"&lt;="&amp;'Configuración'!$C$8)-SUMIFS(tOperaciones[Participaciones],tOperaciones[Producto],B143,tOperaciones[Tipo],"Venta",tOperaciones[Fecha],"&gt;="&amp;F143,tOperaciones[Fecha],"&lt;="&amp;'Configuración'!$C$8))</f>
        <v/>
      </c>
      <c r="J143" s="14" t="str">
        <f>IF(OR(B143="",'Configuración'!$C$8&lt;F143),"",H143+SUMIFS(tOperaciones[Importe],tOperaciones[Producto],B143,tOperaciones[Tipo],"Compra",tOperaciones[Fecha],"&gt;="&amp;F143,tOperaciones[Fecha],"&lt;="&amp;'Configuración'!$C$8)-SUMIFS(tOperaciones[Importe],tOperaciones[Producto],B143,tOperaciones[Tipo],"Venta",tOperaciones[Fecha],"&gt;="&amp;F143,tOperaciones[Fecha],"&lt;="&amp;'Configuración'!$C$8))</f>
        <v/>
      </c>
      <c r="K143" s="14" t="str">
        <f>IF(OR(B143="",COUNT(I143)=0),"",IF(I143=0,0,IF(COUNTIFS(tPrecios[Producto],B143,tPrecios[Fecha],"&lt;="&amp;'Configuración'!$C$8)=0,"",I143*SUMIFS(tPrecios[VL EUR],tPrecios[Producto],B143,tPrecios[Fecha],MAXIFS(tPrecios[Fecha],tPrecios[Producto],B143,tPrecios[Fecha],"&lt;="&amp;'Configuración'!$C$8)))))</f>
        <v/>
      </c>
      <c r="L143" s="14" t="str">
        <f>IF(OR(B143="",COUNT(K143)=0),"",K143-J143+SUMIFS(tOperaciones[Importe],tOperaciones[Producto],B143,tOperaciones[Tipo],"Cobro",tOperaciones[Fecha],"&gt;="&amp;F143,tOperaciones[Fecha],"&lt;="&amp;'Configuración'!$C$8))</f>
        <v/>
      </c>
      <c r="M143" s="45" t="str">
        <f>IF(OR(B143="",COUNT(L143)=0,H143+SUMIFS(tOperaciones[Importe],tOperaciones[Producto],B143,tOperaciones[Tipo],"Compra",tOperaciones[Fecha],"&lt;="&amp;'Configuración'!$C$8)=0),"",L143/(H143+SUMIFS(tOperaciones[Importe],tOperaciones[Producto],B143,tOperaciones[Tipo],"Compra",tOperaciones[Fecha],"&lt;="&amp;'Configuración'!$C$8)))</f>
        <v/>
      </c>
      <c r="N143" s="45" t="str">
        <f>IF(OR(B143="",COUNT(K143)=0,COUNT(tProductos[Valor])&lt;&gt;COUNTA(tProductos[ID]),SUM(tProductos[Valor])=0),"",K143/SUM(tProductos[Valor]))</f>
        <v/>
      </c>
    </row>
    <row r="144" ht="27.75" customHeight="1">
      <c r="A144" s="1"/>
      <c r="B144" s="10"/>
      <c r="C144" s="10"/>
      <c r="D144" s="10"/>
      <c r="E144" s="10"/>
      <c r="F144" s="11"/>
      <c r="G144" s="43"/>
      <c r="H144" s="13"/>
      <c r="I144" s="44" t="str">
        <f>IF(OR(B144="",'Configuración'!$C$8&lt;F144),"",G144+SUMIFS(tOperaciones[Participaciones],tOperaciones[Producto],B144,tOperaciones[Tipo],"Compra",tOperaciones[Fecha],"&gt;="&amp;F144,tOperaciones[Fecha],"&lt;="&amp;'Configuración'!$C$8)-SUMIFS(tOperaciones[Participaciones],tOperaciones[Producto],B144,tOperaciones[Tipo],"Venta",tOperaciones[Fecha],"&gt;="&amp;F144,tOperaciones[Fecha],"&lt;="&amp;'Configuración'!$C$8))</f>
        <v/>
      </c>
      <c r="J144" s="14" t="str">
        <f>IF(OR(B144="",'Configuración'!$C$8&lt;F144),"",H144+SUMIFS(tOperaciones[Importe],tOperaciones[Producto],B144,tOperaciones[Tipo],"Compra",tOperaciones[Fecha],"&gt;="&amp;F144,tOperaciones[Fecha],"&lt;="&amp;'Configuración'!$C$8)-SUMIFS(tOperaciones[Importe],tOperaciones[Producto],B144,tOperaciones[Tipo],"Venta",tOperaciones[Fecha],"&gt;="&amp;F144,tOperaciones[Fecha],"&lt;="&amp;'Configuración'!$C$8))</f>
        <v/>
      </c>
      <c r="K144" s="14" t="str">
        <f>IF(OR(B144="",COUNT(I144)=0),"",IF(I144=0,0,IF(COUNTIFS(tPrecios[Producto],B144,tPrecios[Fecha],"&lt;="&amp;'Configuración'!$C$8)=0,"",I144*SUMIFS(tPrecios[VL EUR],tPrecios[Producto],B144,tPrecios[Fecha],MAXIFS(tPrecios[Fecha],tPrecios[Producto],B144,tPrecios[Fecha],"&lt;="&amp;'Configuración'!$C$8)))))</f>
        <v/>
      </c>
      <c r="L144" s="14" t="str">
        <f>IF(OR(B144="",COUNT(K144)=0),"",K144-J144+SUMIFS(tOperaciones[Importe],tOperaciones[Producto],B144,tOperaciones[Tipo],"Cobro",tOperaciones[Fecha],"&gt;="&amp;F144,tOperaciones[Fecha],"&lt;="&amp;'Configuración'!$C$8))</f>
        <v/>
      </c>
      <c r="M144" s="45" t="str">
        <f>IF(OR(B144="",COUNT(L144)=0,H144+SUMIFS(tOperaciones[Importe],tOperaciones[Producto],B144,tOperaciones[Tipo],"Compra",tOperaciones[Fecha],"&lt;="&amp;'Configuración'!$C$8)=0),"",L144/(H144+SUMIFS(tOperaciones[Importe],tOperaciones[Producto],B144,tOperaciones[Tipo],"Compra",tOperaciones[Fecha],"&lt;="&amp;'Configuración'!$C$8)))</f>
        <v/>
      </c>
      <c r="N144" s="45" t="str">
        <f>IF(OR(B144="",COUNT(K144)=0,COUNT(tProductos[Valor])&lt;&gt;COUNTA(tProductos[ID]),SUM(tProductos[Valor])=0),"",K144/SUM(tProductos[Valor]))</f>
        <v/>
      </c>
    </row>
    <row r="145" ht="27.75" customHeight="1">
      <c r="A145" s="1"/>
      <c r="B145" s="10"/>
      <c r="C145" s="10"/>
      <c r="D145" s="10"/>
      <c r="E145" s="10"/>
      <c r="F145" s="11"/>
      <c r="G145" s="43"/>
      <c r="H145" s="13"/>
      <c r="I145" s="44" t="str">
        <f>IF(OR(B145="",'Configuración'!$C$8&lt;F145),"",G145+SUMIFS(tOperaciones[Participaciones],tOperaciones[Producto],B145,tOperaciones[Tipo],"Compra",tOperaciones[Fecha],"&gt;="&amp;F145,tOperaciones[Fecha],"&lt;="&amp;'Configuración'!$C$8)-SUMIFS(tOperaciones[Participaciones],tOperaciones[Producto],B145,tOperaciones[Tipo],"Venta",tOperaciones[Fecha],"&gt;="&amp;F145,tOperaciones[Fecha],"&lt;="&amp;'Configuración'!$C$8))</f>
        <v/>
      </c>
      <c r="J145" s="14" t="str">
        <f>IF(OR(B145="",'Configuración'!$C$8&lt;F145),"",H145+SUMIFS(tOperaciones[Importe],tOperaciones[Producto],B145,tOperaciones[Tipo],"Compra",tOperaciones[Fecha],"&gt;="&amp;F145,tOperaciones[Fecha],"&lt;="&amp;'Configuración'!$C$8)-SUMIFS(tOperaciones[Importe],tOperaciones[Producto],B145,tOperaciones[Tipo],"Venta",tOperaciones[Fecha],"&gt;="&amp;F145,tOperaciones[Fecha],"&lt;="&amp;'Configuración'!$C$8))</f>
        <v/>
      </c>
      <c r="K145" s="14" t="str">
        <f>IF(OR(B145="",COUNT(I145)=0),"",IF(I145=0,0,IF(COUNTIFS(tPrecios[Producto],B145,tPrecios[Fecha],"&lt;="&amp;'Configuración'!$C$8)=0,"",I145*SUMIFS(tPrecios[VL EUR],tPrecios[Producto],B145,tPrecios[Fecha],MAXIFS(tPrecios[Fecha],tPrecios[Producto],B145,tPrecios[Fecha],"&lt;="&amp;'Configuración'!$C$8)))))</f>
        <v/>
      </c>
      <c r="L145" s="14" t="str">
        <f>IF(OR(B145="",COUNT(K145)=0),"",K145-J145+SUMIFS(tOperaciones[Importe],tOperaciones[Producto],B145,tOperaciones[Tipo],"Cobro",tOperaciones[Fecha],"&gt;="&amp;F145,tOperaciones[Fecha],"&lt;="&amp;'Configuración'!$C$8))</f>
        <v/>
      </c>
      <c r="M145" s="45" t="str">
        <f>IF(OR(B145="",COUNT(L145)=0,H145+SUMIFS(tOperaciones[Importe],tOperaciones[Producto],B145,tOperaciones[Tipo],"Compra",tOperaciones[Fecha],"&lt;="&amp;'Configuración'!$C$8)=0),"",L145/(H145+SUMIFS(tOperaciones[Importe],tOperaciones[Producto],B145,tOperaciones[Tipo],"Compra",tOperaciones[Fecha],"&lt;="&amp;'Configuración'!$C$8)))</f>
        <v/>
      </c>
      <c r="N145" s="45" t="str">
        <f>IF(OR(B145="",COUNT(K145)=0,COUNT(tProductos[Valor])&lt;&gt;COUNTA(tProductos[ID]),SUM(tProductos[Valor])=0),"",K145/SUM(tProductos[Valor]))</f>
        <v/>
      </c>
    </row>
    <row r="146" ht="27.75" customHeight="1">
      <c r="A146" s="1"/>
      <c r="B146" s="10"/>
      <c r="C146" s="10"/>
      <c r="D146" s="10"/>
      <c r="E146" s="10"/>
      <c r="F146" s="11"/>
      <c r="G146" s="43"/>
      <c r="H146" s="13"/>
      <c r="I146" s="44" t="str">
        <f>IF(OR(B146="",'Configuración'!$C$8&lt;F146),"",G146+SUMIFS(tOperaciones[Participaciones],tOperaciones[Producto],B146,tOperaciones[Tipo],"Compra",tOperaciones[Fecha],"&gt;="&amp;F146,tOperaciones[Fecha],"&lt;="&amp;'Configuración'!$C$8)-SUMIFS(tOperaciones[Participaciones],tOperaciones[Producto],B146,tOperaciones[Tipo],"Venta",tOperaciones[Fecha],"&gt;="&amp;F146,tOperaciones[Fecha],"&lt;="&amp;'Configuración'!$C$8))</f>
        <v/>
      </c>
      <c r="J146" s="14" t="str">
        <f>IF(OR(B146="",'Configuración'!$C$8&lt;F146),"",H146+SUMIFS(tOperaciones[Importe],tOperaciones[Producto],B146,tOperaciones[Tipo],"Compra",tOperaciones[Fecha],"&gt;="&amp;F146,tOperaciones[Fecha],"&lt;="&amp;'Configuración'!$C$8)-SUMIFS(tOperaciones[Importe],tOperaciones[Producto],B146,tOperaciones[Tipo],"Venta",tOperaciones[Fecha],"&gt;="&amp;F146,tOperaciones[Fecha],"&lt;="&amp;'Configuración'!$C$8))</f>
        <v/>
      </c>
      <c r="K146" s="14" t="str">
        <f>IF(OR(B146="",COUNT(I146)=0),"",IF(I146=0,0,IF(COUNTIFS(tPrecios[Producto],B146,tPrecios[Fecha],"&lt;="&amp;'Configuración'!$C$8)=0,"",I146*SUMIFS(tPrecios[VL EUR],tPrecios[Producto],B146,tPrecios[Fecha],MAXIFS(tPrecios[Fecha],tPrecios[Producto],B146,tPrecios[Fecha],"&lt;="&amp;'Configuración'!$C$8)))))</f>
        <v/>
      </c>
      <c r="L146" s="14" t="str">
        <f>IF(OR(B146="",COUNT(K146)=0),"",K146-J146+SUMIFS(tOperaciones[Importe],tOperaciones[Producto],B146,tOperaciones[Tipo],"Cobro",tOperaciones[Fecha],"&gt;="&amp;F146,tOperaciones[Fecha],"&lt;="&amp;'Configuración'!$C$8))</f>
        <v/>
      </c>
      <c r="M146" s="45" t="str">
        <f>IF(OR(B146="",COUNT(L146)=0,H146+SUMIFS(tOperaciones[Importe],tOperaciones[Producto],B146,tOperaciones[Tipo],"Compra",tOperaciones[Fecha],"&lt;="&amp;'Configuración'!$C$8)=0),"",L146/(H146+SUMIFS(tOperaciones[Importe],tOperaciones[Producto],B146,tOperaciones[Tipo],"Compra",tOperaciones[Fecha],"&lt;="&amp;'Configuración'!$C$8)))</f>
        <v/>
      </c>
      <c r="N146" s="45" t="str">
        <f>IF(OR(B146="",COUNT(K146)=0,COUNT(tProductos[Valor])&lt;&gt;COUNTA(tProductos[ID]),SUM(tProductos[Valor])=0),"",K146/SUM(tProductos[Valor]))</f>
        <v/>
      </c>
    </row>
    <row r="147" ht="27.75" customHeight="1">
      <c r="A147" s="1"/>
      <c r="B147" s="10"/>
      <c r="C147" s="10"/>
      <c r="D147" s="10"/>
      <c r="E147" s="10"/>
      <c r="F147" s="11"/>
      <c r="G147" s="43"/>
      <c r="H147" s="13"/>
      <c r="I147" s="44" t="str">
        <f>IF(OR(B147="",'Configuración'!$C$8&lt;F147),"",G147+SUMIFS(tOperaciones[Participaciones],tOperaciones[Producto],B147,tOperaciones[Tipo],"Compra",tOperaciones[Fecha],"&gt;="&amp;F147,tOperaciones[Fecha],"&lt;="&amp;'Configuración'!$C$8)-SUMIFS(tOperaciones[Participaciones],tOperaciones[Producto],B147,tOperaciones[Tipo],"Venta",tOperaciones[Fecha],"&gt;="&amp;F147,tOperaciones[Fecha],"&lt;="&amp;'Configuración'!$C$8))</f>
        <v/>
      </c>
      <c r="J147" s="14" t="str">
        <f>IF(OR(B147="",'Configuración'!$C$8&lt;F147),"",H147+SUMIFS(tOperaciones[Importe],tOperaciones[Producto],B147,tOperaciones[Tipo],"Compra",tOperaciones[Fecha],"&gt;="&amp;F147,tOperaciones[Fecha],"&lt;="&amp;'Configuración'!$C$8)-SUMIFS(tOperaciones[Importe],tOperaciones[Producto],B147,tOperaciones[Tipo],"Venta",tOperaciones[Fecha],"&gt;="&amp;F147,tOperaciones[Fecha],"&lt;="&amp;'Configuración'!$C$8))</f>
        <v/>
      </c>
      <c r="K147" s="14" t="str">
        <f>IF(OR(B147="",COUNT(I147)=0),"",IF(I147=0,0,IF(COUNTIFS(tPrecios[Producto],B147,tPrecios[Fecha],"&lt;="&amp;'Configuración'!$C$8)=0,"",I147*SUMIFS(tPrecios[VL EUR],tPrecios[Producto],B147,tPrecios[Fecha],MAXIFS(tPrecios[Fecha],tPrecios[Producto],B147,tPrecios[Fecha],"&lt;="&amp;'Configuración'!$C$8)))))</f>
        <v/>
      </c>
      <c r="L147" s="14" t="str">
        <f>IF(OR(B147="",COUNT(K147)=0),"",K147-J147+SUMIFS(tOperaciones[Importe],tOperaciones[Producto],B147,tOperaciones[Tipo],"Cobro",tOperaciones[Fecha],"&gt;="&amp;F147,tOperaciones[Fecha],"&lt;="&amp;'Configuración'!$C$8))</f>
        <v/>
      </c>
      <c r="M147" s="45" t="str">
        <f>IF(OR(B147="",COUNT(L147)=0,H147+SUMIFS(tOperaciones[Importe],tOperaciones[Producto],B147,tOperaciones[Tipo],"Compra",tOperaciones[Fecha],"&lt;="&amp;'Configuración'!$C$8)=0),"",L147/(H147+SUMIFS(tOperaciones[Importe],tOperaciones[Producto],B147,tOperaciones[Tipo],"Compra",tOperaciones[Fecha],"&lt;="&amp;'Configuración'!$C$8)))</f>
        <v/>
      </c>
      <c r="N147" s="45" t="str">
        <f>IF(OR(B147="",COUNT(K147)=0,COUNT(tProductos[Valor])&lt;&gt;COUNTA(tProductos[ID]),SUM(tProductos[Valor])=0),"",K147/SUM(tProductos[Valor]))</f>
        <v/>
      </c>
    </row>
    <row r="148" ht="27.75" customHeight="1">
      <c r="A148" s="1"/>
      <c r="B148" s="10"/>
      <c r="C148" s="10"/>
      <c r="D148" s="10"/>
      <c r="E148" s="10"/>
      <c r="F148" s="11"/>
      <c r="G148" s="43"/>
      <c r="H148" s="13"/>
      <c r="I148" s="44" t="str">
        <f>IF(OR(B148="",'Configuración'!$C$8&lt;F148),"",G148+SUMIFS(tOperaciones[Participaciones],tOperaciones[Producto],B148,tOperaciones[Tipo],"Compra",tOperaciones[Fecha],"&gt;="&amp;F148,tOperaciones[Fecha],"&lt;="&amp;'Configuración'!$C$8)-SUMIFS(tOperaciones[Participaciones],tOperaciones[Producto],B148,tOperaciones[Tipo],"Venta",tOperaciones[Fecha],"&gt;="&amp;F148,tOperaciones[Fecha],"&lt;="&amp;'Configuración'!$C$8))</f>
        <v/>
      </c>
      <c r="J148" s="14" t="str">
        <f>IF(OR(B148="",'Configuración'!$C$8&lt;F148),"",H148+SUMIFS(tOperaciones[Importe],tOperaciones[Producto],B148,tOperaciones[Tipo],"Compra",tOperaciones[Fecha],"&gt;="&amp;F148,tOperaciones[Fecha],"&lt;="&amp;'Configuración'!$C$8)-SUMIFS(tOperaciones[Importe],tOperaciones[Producto],B148,tOperaciones[Tipo],"Venta",tOperaciones[Fecha],"&gt;="&amp;F148,tOperaciones[Fecha],"&lt;="&amp;'Configuración'!$C$8))</f>
        <v/>
      </c>
      <c r="K148" s="14" t="str">
        <f>IF(OR(B148="",COUNT(I148)=0),"",IF(I148=0,0,IF(COUNTIFS(tPrecios[Producto],B148,tPrecios[Fecha],"&lt;="&amp;'Configuración'!$C$8)=0,"",I148*SUMIFS(tPrecios[VL EUR],tPrecios[Producto],B148,tPrecios[Fecha],MAXIFS(tPrecios[Fecha],tPrecios[Producto],B148,tPrecios[Fecha],"&lt;="&amp;'Configuración'!$C$8)))))</f>
        <v/>
      </c>
      <c r="L148" s="14" t="str">
        <f>IF(OR(B148="",COUNT(K148)=0),"",K148-J148+SUMIFS(tOperaciones[Importe],tOperaciones[Producto],B148,tOperaciones[Tipo],"Cobro",tOperaciones[Fecha],"&gt;="&amp;F148,tOperaciones[Fecha],"&lt;="&amp;'Configuración'!$C$8))</f>
        <v/>
      </c>
      <c r="M148" s="45" t="str">
        <f>IF(OR(B148="",COUNT(L148)=0,H148+SUMIFS(tOperaciones[Importe],tOperaciones[Producto],B148,tOperaciones[Tipo],"Compra",tOperaciones[Fecha],"&lt;="&amp;'Configuración'!$C$8)=0),"",L148/(H148+SUMIFS(tOperaciones[Importe],tOperaciones[Producto],B148,tOperaciones[Tipo],"Compra",tOperaciones[Fecha],"&lt;="&amp;'Configuración'!$C$8)))</f>
        <v/>
      </c>
      <c r="N148" s="45" t="str">
        <f>IF(OR(B148="",COUNT(K148)=0,COUNT(tProductos[Valor])&lt;&gt;COUNTA(tProductos[ID]),SUM(tProductos[Valor])=0),"",K148/SUM(tProductos[Valor]))</f>
        <v/>
      </c>
    </row>
    <row r="149" ht="27.75" customHeight="1">
      <c r="A149" s="1"/>
      <c r="B149" s="10"/>
      <c r="C149" s="10"/>
      <c r="D149" s="10"/>
      <c r="E149" s="10"/>
      <c r="F149" s="11"/>
      <c r="G149" s="43"/>
      <c r="H149" s="13"/>
      <c r="I149" s="44" t="str">
        <f>IF(OR(B149="",'Configuración'!$C$8&lt;F149),"",G149+SUMIFS(tOperaciones[Participaciones],tOperaciones[Producto],B149,tOperaciones[Tipo],"Compra",tOperaciones[Fecha],"&gt;="&amp;F149,tOperaciones[Fecha],"&lt;="&amp;'Configuración'!$C$8)-SUMIFS(tOperaciones[Participaciones],tOperaciones[Producto],B149,tOperaciones[Tipo],"Venta",tOperaciones[Fecha],"&gt;="&amp;F149,tOperaciones[Fecha],"&lt;="&amp;'Configuración'!$C$8))</f>
        <v/>
      </c>
      <c r="J149" s="14" t="str">
        <f>IF(OR(B149="",'Configuración'!$C$8&lt;F149),"",H149+SUMIFS(tOperaciones[Importe],tOperaciones[Producto],B149,tOperaciones[Tipo],"Compra",tOperaciones[Fecha],"&gt;="&amp;F149,tOperaciones[Fecha],"&lt;="&amp;'Configuración'!$C$8)-SUMIFS(tOperaciones[Importe],tOperaciones[Producto],B149,tOperaciones[Tipo],"Venta",tOperaciones[Fecha],"&gt;="&amp;F149,tOperaciones[Fecha],"&lt;="&amp;'Configuración'!$C$8))</f>
        <v/>
      </c>
      <c r="K149" s="14" t="str">
        <f>IF(OR(B149="",COUNT(I149)=0),"",IF(I149=0,0,IF(COUNTIFS(tPrecios[Producto],B149,tPrecios[Fecha],"&lt;="&amp;'Configuración'!$C$8)=0,"",I149*SUMIFS(tPrecios[VL EUR],tPrecios[Producto],B149,tPrecios[Fecha],MAXIFS(tPrecios[Fecha],tPrecios[Producto],B149,tPrecios[Fecha],"&lt;="&amp;'Configuración'!$C$8)))))</f>
        <v/>
      </c>
      <c r="L149" s="14" t="str">
        <f>IF(OR(B149="",COUNT(K149)=0),"",K149-J149+SUMIFS(tOperaciones[Importe],tOperaciones[Producto],B149,tOperaciones[Tipo],"Cobro",tOperaciones[Fecha],"&gt;="&amp;F149,tOperaciones[Fecha],"&lt;="&amp;'Configuración'!$C$8))</f>
        <v/>
      </c>
      <c r="M149" s="45" t="str">
        <f>IF(OR(B149="",COUNT(L149)=0,H149+SUMIFS(tOperaciones[Importe],tOperaciones[Producto],B149,tOperaciones[Tipo],"Compra",tOperaciones[Fecha],"&lt;="&amp;'Configuración'!$C$8)=0),"",L149/(H149+SUMIFS(tOperaciones[Importe],tOperaciones[Producto],B149,tOperaciones[Tipo],"Compra",tOperaciones[Fecha],"&lt;="&amp;'Configuración'!$C$8)))</f>
        <v/>
      </c>
      <c r="N149" s="45" t="str">
        <f>IF(OR(B149="",COUNT(K149)=0,COUNT(tProductos[Valor])&lt;&gt;COUNTA(tProductos[ID]),SUM(tProductos[Valor])=0),"",K149/SUM(tProductos[Valor]))</f>
        <v/>
      </c>
    </row>
    <row r="150" ht="24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ht="24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ht="24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ht="30.0" customHeight="1">
      <c r="A153" s="1"/>
      <c r="B153" s="37" t="s">
        <v>190</v>
      </c>
    </row>
    <row r="154" ht="24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ht="37.5" customHeight="1">
      <c r="A155" s="1"/>
      <c r="B155" s="4" t="s">
        <v>2</v>
      </c>
      <c r="C155" s="4" t="s">
        <v>4</v>
      </c>
      <c r="D155" s="4" t="s">
        <v>32</v>
      </c>
      <c r="E155" s="4" t="s">
        <v>6</v>
      </c>
      <c r="F155" s="4" t="s">
        <v>46</v>
      </c>
      <c r="G155" s="4" t="s">
        <v>191</v>
      </c>
      <c r="H155" s="4" t="s">
        <v>192</v>
      </c>
      <c r="I155" s="4" t="s">
        <v>193</v>
      </c>
      <c r="J155" s="4" t="s">
        <v>14</v>
      </c>
      <c r="K155" s="4" t="s">
        <v>52</v>
      </c>
      <c r="L155" s="1"/>
      <c r="M155" s="1"/>
      <c r="N155" s="1"/>
    </row>
    <row r="156" ht="27.75" customHeight="1">
      <c r="A156" s="1"/>
      <c r="B156" s="5"/>
      <c r="C156" s="7"/>
      <c r="D156" s="5"/>
      <c r="E156" s="8"/>
      <c r="F156" s="40"/>
      <c r="G156" s="40"/>
      <c r="H156" s="6"/>
      <c r="I156" s="6"/>
      <c r="J156" s="9" t="str">
        <f t="shared" ref="J156:J285" si="1">IF(B156="","",IF(E156="Compra",F156*G156+H156,IF(E156="Venta",F156*G156-H156-I156,IF(E156="Cobro",G156-H156-I156,0))))</f>
        <v/>
      </c>
      <c r="K156" s="5"/>
      <c r="L156" s="1"/>
      <c r="M156" s="1"/>
      <c r="N156" s="1"/>
    </row>
    <row r="157" ht="27.75" customHeight="1">
      <c r="A157" s="1"/>
      <c r="B157" s="10"/>
      <c r="C157" s="11"/>
      <c r="D157" s="10"/>
      <c r="E157" s="12"/>
      <c r="F157" s="43"/>
      <c r="G157" s="43"/>
      <c r="H157" s="13"/>
      <c r="I157" s="13"/>
      <c r="J157" s="14" t="str">
        <f t="shared" si="1"/>
        <v/>
      </c>
      <c r="K157" s="10"/>
      <c r="L157" s="1"/>
      <c r="M157" s="1"/>
      <c r="N157" s="1"/>
    </row>
    <row r="158" ht="27.75" customHeight="1">
      <c r="A158" s="1"/>
      <c r="B158" s="5"/>
      <c r="C158" s="7"/>
      <c r="D158" s="5"/>
      <c r="E158" s="8"/>
      <c r="F158" s="40"/>
      <c r="G158" s="40"/>
      <c r="H158" s="6"/>
      <c r="I158" s="6"/>
      <c r="J158" s="9" t="str">
        <f t="shared" si="1"/>
        <v/>
      </c>
      <c r="K158" s="5"/>
      <c r="L158" s="1"/>
      <c r="M158" s="1"/>
      <c r="N158" s="1"/>
    </row>
    <row r="159" ht="27.75" customHeight="1">
      <c r="A159" s="1"/>
      <c r="B159" s="10"/>
      <c r="C159" s="11"/>
      <c r="D159" s="10"/>
      <c r="E159" s="12"/>
      <c r="F159" s="43"/>
      <c r="G159" s="43"/>
      <c r="H159" s="13"/>
      <c r="I159" s="13"/>
      <c r="J159" s="14" t="str">
        <f t="shared" si="1"/>
        <v/>
      </c>
      <c r="K159" s="10"/>
      <c r="L159" s="1"/>
      <c r="M159" s="1"/>
      <c r="N159" s="1"/>
    </row>
    <row r="160" ht="27.75" customHeight="1">
      <c r="A160" s="1"/>
      <c r="B160" s="5"/>
      <c r="C160" s="7"/>
      <c r="D160" s="5"/>
      <c r="E160" s="8"/>
      <c r="F160" s="40"/>
      <c r="G160" s="40"/>
      <c r="H160" s="6"/>
      <c r="I160" s="6"/>
      <c r="J160" s="9" t="str">
        <f t="shared" si="1"/>
        <v/>
      </c>
      <c r="K160" s="5"/>
      <c r="L160" s="1"/>
      <c r="M160" s="1"/>
      <c r="N160" s="1"/>
    </row>
    <row r="161" ht="27.75" customHeight="1">
      <c r="A161" s="1"/>
      <c r="B161" s="10"/>
      <c r="C161" s="11"/>
      <c r="D161" s="10"/>
      <c r="E161" s="12"/>
      <c r="F161" s="43"/>
      <c r="G161" s="43"/>
      <c r="H161" s="13"/>
      <c r="I161" s="13"/>
      <c r="J161" s="14" t="str">
        <f t="shared" si="1"/>
        <v/>
      </c>
      <c r="K161" s="10"/>
      <c r="L161" s="1"/>
      <c r="M161" s="1"/>
      <c r="N161" s="1"/>
    </row>
    <row r="162" ht="27.75" customHeight="1">
      <c r="A162" s="1"/>
      <c r="B162" s="5"/>
      <c r="C162" s="7"/>
      <c r="D162" s="5"/>
      <c r="E162" s="8"/>
      <c r="F162" s="40"/>
      <c r="G162" s="40"/>
      <c r="H162" s="6"/>
      <c r="I162" s="6"/>
      <c r="J162" s="9" t="str">
        <f t="shared" si="1"/>
        <v/>
      </c>
      <c r="K162" s="5"/>
      <c r="L162" s="1"/>
      <c r="M162" s="1"/>
      <c r="N162" s="1"/>
    </row>
    <row r="163" ht="27.75" customHeight="1">
      <c r="A163" s="1"/>
      <c r="B163" s="10"/>
      <c r="C163" s="11"/>
      <c r="D163" s="10"/>
      <c r="E163" s="12"/>
      <c r="F163" s="43"/>
      <c r="G163" s="43"/>
      <c r="H163" s="13"/>
      <c r="I163" s="13"/>
      <c r="J163" s="14" t="str">
        <f t="shared" si="1"/>
        <v/>
      </c>
      <c r="K163" s="10"/>
      <c r="L163" s="1"/>
      <c r="M163" s="1"/>
      <c r="N163" s="1"/>
    </row>
    <row r="164" ht="27.75" customHeight="1">
      <c r="A164" s="1"/>
      <c r="B164" s="5"/>
      <c r="C164" s="7"/>
      <c r="D164" s="5"/>
      <c r="E164" s="8"/>
      <c r="F164" s="40"/>
      <c r="G164" s="40"/>
      <c r="H164" s="6"/>
      <c r="I164" s="6"/>
      <c r="J164" s="9" t="str">
        <f t="shared" si="1"/>
        <v/>
      </c>
      <c r="K164" s="5"/>
      <c r="L164" s="1"/>
      <c r="M164" s="1"/>
      <c r="N164" s="1"/>
    </row>
    <row r="165" ht="27.75" customHeight="1">
      <c r="A165" s="1"/>
      <c r="B165" s="10"/>
      <c r="C165" s="11"/>
      <c r="D165" s="10"/>
      <c r="E165" s="12"/>
      <c r="F165" s="43"/>
      <c r="G165" s="43"/>
      <c r="H165" s="13"/>
      <c r="I165" s="13"/>
      <c r="J165" s="14" t="str">
        <f t="shared" si="1"/>
        <v/>
      </c>
      <c r="K165" s="10"/>
      <c r="L165" s="1"/>
      <c r="M165" s="1"/>
      <c r="N165" s="1"/>
    </row>
    <row r="166" ht="27.75" customHeight="1">
      <c r="A166" s="1"/>
      <c r="B166" s="5"/>
      <c r="C166" s="7"/>
      <c r="D166" s="5"/>
      <c r="E166" s="8"/>
      <c r="F166" s="40"/>
      <c r="G166" s="40"/>
      <c r="H166" s="6"/>
      <c r="I166" s="6"/>
      <c r="J166" s="9" t="str">
        <f t="shared" si="1"/>
        <v/>
      </c>
      <c r="K166" s="5"/>
      <c r="L166" s="1"/>
      <c r="M166" s="1"/>
      <c r="N166" s="1"/>
    </row>
    <row r="167" ht="27.75" customHeight="1">
      <c r="A167" s="1"/>
      <c r="B167" s="10"/>
      <c r="C167" s="11"/>
      <c r="D167" s="10"/>
      <c r="E167" s="12"/>
      <c r="F167" s="43"/>
      <c r="G167" s="43"/>
      <c r="H167" s="13"/>
      <c r="I167" s="13"/>
      <c r="J167" s="14" t="str">
        <f t="shared" si="1"/>
        <v/>
      </c>
      <c r="K167" s="10"/>
      <c r="L167" s="1"/>
      <c r="M167" s="1"/>
      <c r="N167" s="1"/>
    </row>
    <row r="168" ht="27.75" customHeight="1">
      <c r="A168" s="1"/>
      <c r="B168" s="5"/>
      <c r="C168" s="7"/>
      <c r="D168" s="5"/>
      <c r="E168" s="8"/>
      <c r="F168" s="40"/>
      <c r="G168" s="40"/>
      <c r="H168" s="6"/>
      <c r="I168" s="6"/>
      <c r="J168" s="9" t="str">
        <f t="shared" si="1"/>
        <v/>
      </c>
      <c r="K168" s="5"/>
      <c r="L168" s="1"/>
      <c r="M168" s="1"/>
      <c r="N168" s="1"/>
    </row>
    <row r="169" ht="27.75" customHeight="1">
      <c r="A169" s="1"/>
      <c r="B169" s="10"/>
      <c r="C169" s="11"/>
      <c r="D169" s="10"/>
      <c r="E169" s="12"/>
      <c r="F169" s="43"/>
      <c r="G169" s="43"/>
      <c r="H169" s="13"/>
      <c r="I169" s="13"/>
      <c r="J169" s="14" t="str">
        <f t="shared" si="1"/>
        <v/>
      </c>
      <c r="K169" s="10"/>
      <c r="L169" s="1"/>
      <c r="M169" s="1"/>
      <c r="N169" s="1"/>
    </row>
    <row r="170" ht="27.75" customHeight="1">
      <c r="A170" s="1"/>
      <c r="B170" s="5"/>
      <c r="C170" s="7"/>
      <c r="D170" s="5"/>
      <c r="E170" s="8"/>
      <c r="F170" s="40"/>
      <c r="G170" s="40"/>
      <c r="H170" s="6"/>
      <c r="I170" s="6"/>
      <c r="J170" s="9" t="str">
        <f t="shared" si="1"/>
        <v/>
      </c>
      <c r="K170" s="5"/>
      <c r="L170" s="1"/>
      <c r="M170" s="1"/>
      <c r="N170" s="1"/>
    </row>
    <row r="171" ht="27.75" customHeight="1">
      <c r="A171" s="1"/>
      <c r="B171" s="10"/>
      <c r="C171" s="11"/>
      <c r="D171" s="10"/>
      <c r="E171" s="12"/>
      <c r="F171" s="43"/>
      <c r="G171" s="43"/>
      <c r="H171" s="13"/>
      <c r="I171" s="13"/>
      <c r="J171" s="14" t="str">
        <f t="shared" si="1"/>
        <v/>
      </c>
      <c r="K171" s="10"/>
      <c r="L171" s="1"/>
      <c r="M171" s="1"/>
      <c r="N171" s="1"/>
    </row>
    <row r="172" ht="27.75" customHeight="1">
      <c r="A172" s="1"/>
      <c r="B172" s="5"/>
      <c r="C172" s="7"/>
      <c r="D172" s="5"/>
      <c r="E172" s="8"/>
      <c r="F172" s="40"/>
      <c r="G172" s="40"/>
      <c r="H172" s="6"/>
      <c r="I172" s="6"/>
      <c r="J172" s="9" t="str">
        <f t="shared" si="1"/>
        <v/>
      </c>
      <c r="K172" s="5"/>
      <c r="L172" s="1"/>
      <c r="M172" s="1"/>
      <c r="N172" s="1"/>
    </row>
    <row r="173" ht="27.75" customHeight="1">
      <c r="A173" s="1"/>
      <c r="B173" s="16"/>
      <c r="C173" s="17"/>
      <c r="D173" s="16"/>
      <c r="E173" s="18"/>
      <c r="F173" s="67"/>
      <c r="G173" s="67"/>
      <c r="H173" s="19"/>
      <c r="I173" s="19"/>
      <c r="J173" s="14" t="str">
        <f t="shared" si="1"/>
        <v/>
      </c>
      <c r="K173" s="16"/>
      <c r="L173" s="1"/>
      <c r="M173" s="1"/>
      <c r="N173" s="1"/>
    </row>
    <row r="174" ht="27.75" customHeight="1">
      <c r="A174" s="1"/>
      <c r="B174" s="5"/>
      <c r="C174" s="7"/>
      <c r="D174" s="5"/>
      <c r="E174" s="8"/>
      <c r="F174" s="40"/>
      <c r="G174" s="40"/>
      <c r="H174" s="6"/>
      <c r="I174" s="6"/>
      <c r="J174" s="9" t="str">
        <f t="shared" si="1"/>
        <v/>
      </c>
      <c r="K174" s="5"/>
      <c r="L174" s="1"/>
      <c r="M174" s="1"/>
      <c r="N174" s="1"/>
    </row>
    <row r="175" ht="27.75" customHeight="1">
      <c r="A175" s="1"/>
      <c r="B175" s="10"/>
      <c r="C175" s="11"/>
      <c r="D175" s="10"/>
      <c r="E175" s="12"/>
      <c r="F175" s="43"/>
      <c r="G175" s="43"/>
      <c r="H175" s="13"/>
      <c r="I175" s="13"/>
      <c r="J175" s="14" t="str">
        <f t="shared" si="1"/>
        <v/>
      </c>
      <c r="K175" s="10"/>
      <c r="L175" s="1"/>
      <c r="M175" s="1"/>
      <c r="N175" s="1"/>
    </row>
    <row r="176" ht="27.75" customHeight="1">
      <c r="A176" s="1"/>
      <c r="B176" s="5"/>
      <c r="C176" s="7"/>
      <c r="D176" s="5"/>
      <c r="E176" s="8"/>
      <c r="F176" s="40"/>
      <c r="G176" s="40"/>
      <c r="H176" s="6"/>
      <c r="I176" s="6"/>
      <c r="J176" s="9" t="str">
        <f t="shared" si="1"/>
        <v/>
      </c>
      <c r="K176" s="5"/>
      <c r="L176" s="1"/>
      <c r="M176" s="1"/>
      <c r="N176" s="1"/>
    </row>
    <row r="177" ht="27.75" customHeight="1">
      <c r="A177" s="1"/>
      <c r="B177" s="10"/>
      <c r="C177" s="11"/>
      <c r="D177" s="10"/>
      <c r="E177" s="12"/>
      <c r="F177" s="43"/>
      <c r="G177" s="43"/>
      <c r="H177" s="13"/>
      <c r="I177" s="13"/>
      <c r="J177" s="14" t="str">
        <f t="shared" si="1"/>
        <v/>
      </c>
      <c r="K177" s="10"/>
      <c r="L177" s="1"/>
      <c r="M177" s="1"/>
      <c r="N177" s="1"/>
    </row>
    <row r="178" ht="27.75" customHeight="1">
      <c r="A178" s="1"/>
      <c r="B178" s="5"/>
      <c r="C178" s="7"/>
      <c r="D178" s="5"/>
      <c r="E178" s="8"/>
      <c r="F178" s="40"/>
      <c r="G178" s="40"/>
      <c r="H178" s="6"/>
      <c r="I178" s="6"/>
      <c r="J178" s="9" t="str">
        <f t="shared" si="1"/>
        <v/>
      </c>
      <c r="K178" s="5"/>
      <c r="L178" s="1"/>
      <c r="M178" s="1"/>
      <c r="N178" s="1"/>
    </row>
    <row r="179" ht="27.75" customHeight="1">
      <c r="A179" s="1"/>
      <c r="B179" s="10"/>
      <c r="C179" s="11"/>
      <c r="D179" s="10"/>
      <c r="E179" s="12"/>
      <c r="F179" s="43"/>
      <c r="G179" s="43"/>
      <c r="H179" s="13"/>
      <c r="I179" s="13"/>
      <c r="J179" s="14" t="str">
        <f t="shared" si="1"/>
        <v/>
      </c>
      <c r="K179" s="10"/>
      <c r="L179" s="1"/>
      <c r="M179" s="1"/>
      <c r="N179" s="1"/>
    </row>
    <row r="180" ht="27.75" customHeight="1">
      <c r="A180" s="1"/>
      <c r="B180" s="5"/>
      <c r="C180" s="7"/>
      <c r="D180" s="5"/>
      <c r="E180" s="8"/>
      <c r="F180" s="40"/>
      <c r="G180" s="40"/>
      <c r="H180" s="6"/>
      <c r="I180" s="6"/>
      <c r="J180" s="9" t="str">
        <f t="shared" si="1"/>
        <v/>
      </c>
      <c r="K180" s="5"/>
      <c r="L180" s="1"/>
      <c r="M180" s="1"/>
      <c r="N180" s="1"/>
    </row>
    <row r="181" ht="27.75" customHeight="1">
      <c r="A181" s="1"/>
      <c r="B181" s="10"/>
      <c r="C181" s="11"/>
      <c r="D181" s="10"/>
      <c r="E181" s="12"/>
      <c r="F181" s="43"/>
      <c r="G181" s="43"/>
      <c r="H181" s="13"/>
      <c r="I181" s="13"/>
      <c r="J181" s="14" t="str">
        <f t="shared" si="1"/>
        <v/>
      </c>
      <c r="K181" s="10"/>
      <c r="L181" s="1"/>
      <c r="M181" s="1"/>
      <c r="N181" s="1"/>
    </row>
    <row r="182" ht="27.75" customHeight="1">
      <c r="A182" s="1"/>
      <c r="B182" s="5"/>
      <c r="C182" s="7"/>
      <c r="D182" s="5"/>
      <c r="E182" s="8"/>
      <c r="F182" s="40"/>
      <c r="G182" s="40"/>
      <c r="H182" s="6"/>
      <c r="I182" s="6"/>
      <c r="J182" s="9" t="str">
        <f t="shared" si="1"/>
        <v/>
      </c>
      <c r="K182" s="5"/>
      <c r="L182" s="1"/>
      <c r="M182" s="1"/>
      <c r="N182" s="1"/>
    </row>
    <row r="183" ht="27.75" customHeight="1">
      <c r="A183" s="1"/>
      <c r="B183" s="10"/>
      <c r="C183" s="11"/>
      <c r="D183" s="10"/>
      <c r="E183" s="12"/>
      <c r="F183" s="43"/>
      <c r="G183" s="43"/>
      <c r="H183" s="13"/>
      <c r="I183" s="13"/>
      <c r="J183" s="14" t="str">
        <f t="shared" si="1"/>
        <v/>
      </c>
      <c r="K183" s="10"/>
      <c r="L183" s="1"/>
      <c r="M183" s="1"/>
      <c r="N183" s="1"/>
    </row>
    <row r="184" ht="27.75" customHeight="1">
      <c r="A184" s="1"/>
      <c r="B184" s="5"/>
      <c r="C184" s="7"/>
      <c r="D184" s="5"/>
      <c r="E184" s="8"/>
      <c r="F184" s="40"/>
      <c r="G184" s="40"/>
      <c r="H184" s="6"/>
      <c r="I184" s="6"/>
      <c r="J184" s="9" t="str">
        <f t="shared" si="1"/>
        <v/>
      </c>
      <c r="K184" s="5"/>
      <c r="L184" s="1"/>
      <c r="M184" s="1"/>
      <c r="N184" s="1"/>
    </row>
    <row r="185" ht="27.75" customHeight="1">
      <c r="A185" s="1"/>
      <c r="B185" s="10"/>
      <c r="C185" s="11"/>
      <c r="D185" s="10"/>
      <c r="E185" s="12"/>
      <c r="F185" s="43"/>
      <c r="G185" s="43"/>
      <c r="H185" s="13"/>
      <c r="I185" s="13"/>
      <c r="J185" s="14" t="str">
        <f t="shared" si="1"/>
        <v/>
      </c>
      <c r="K185" s="10"/>
      <c r="L185" s="1"/>
      <c r="M185" s="1"/>
      <c r="N185" s="1"/>
    </row>
    <row r="186" ht="27.75" customHeight="1">
      <c r="A186" s="1"/>
      <c r="B186" s="10"/>
      <c r="C186" s="11"/>
      <c r="D186" s="10"/>
      <c r="E186" s="12"/>
      <c r="F186" s="43"/>
      <c r="G186" s="43"/>
      <c r="H186" s="13"/>
      <c r="I186" s="13"/>
      <c r="J186" s="14" t="str">
        <f t="shared" si="1"/>
        <v/>
      </c>
      <c r="K186" s="10"/>
      <c r="L186" s="1"/>
      <c r="M186" s="1"/>
      <c r="N186" s="1"/>
    </row>
    <row r="187" ht="27.75" customHeight="1">
      <c r="A187" s="1"/>
      <c r="B187" s="10"/>
      <c r="C187" s="11"/>
      <c r="D187" s="10"/>
      <c r="E187" s="12"/>
      <c r="F187" s="43"/>
      <c r="G187" s="43"/>
      <c r="H187" s="13"/>
      <c r="I187" s="13"/>
      <c r="J187" s="14" t="str">
        <f t="shared" si="1"/>
        <v/>
      </c>
      <c r="K187" s="10"/>
      <c r="L187" s="1"/>
      <c r="M187" s="1"/>
      <c r="N187" s="1"/>
    </row>
    <row r="188" ht="27.75" customHeight="1">
      <c r="A188" s="1"/>
      <c r="B188" s="10"/>
      <c r="C188" s="11"/>
      <c r="D188" s="10"/>
      <c r="E188" s="12"/>
      <c r="F188" s="43"/>
      <c r="G188" s="43"/>
      <c r="H188" s="13"/>
      <c r="I188" s="13"/>
      <c r="J188" s="14" t="str">
        <f t="shared" si="1"/>
        <v/>
      </c>
      <c r="K188" s="10"/>
      <c r="L188" s="1"/>
      <c r="M188" s="1"/>
      <c r="N188" s="1"/>
    </row>
    <row r="189" ht="27.75" customHeight="1">
      <c r="A189" s="1"/>
      <c r="B189" s="10"/>
      <c r="C189" s="11"/>
      <c r="D189" s="10"/>
      <c r="E189" s="12"/>
      <c r="F189" s="43"/>
      <c r="G189" s="43"/>
      <c r="H189" s="13"/>
      <c r="I189" s="13"/>
      <c r="J189" s="14" t="str">
        <f t="shared" si="1"/>
        <v/>
      </c>
      <c r="K189" s="10"/>
      <c r="L189" s="1"/>
      <c r="M189" s="1"/>
      <c r="N189" s="1"/>
    </row>
    <row r="190" ht="27.75" customHeight="1">
      <c r="A190" s="1"/>
      <c r="B190" s="10"/>
      <c r="C190" s="11"/>
      <c r="D190" s="10"/>
      <c r="E190" s="12"/>
      <c r="F190" s="43"/>
      <c r="G190" s="43"/>
      <c r="H190" s="13"/>
      <c r="I190" s="13"/>
      <c r="J190" s="14" t="str">
        <f t="shared" si="1"/>
        <v/>
      </c>
      <c r="K190" s="10"/>
      <c r="L190" s="1"/>
      <c r="M190" s="1"/>
      <c r="N190" s="1"/>
    </row>
    <row r="191" ht="27.75" customHeight="1">
      <c r="A191" s="1"/>
      <c r="B191" s="10"/>
      <c r="C191" s="11"/>
      <c r="D191" s="10"/>
      <c r="E191" s="12"/>
      <c r="F191" s="43"/>
      <c r="G191" s="43"/>
      <c r="H191" s="13"/>
      <c r="I191" s="13"/>
      <c r="J191" s="14" t="str">
        <f t="shared" si="1"/>
        <v/>
      </c>
      <c r="K191" s="10"/>
      <c r="L191" s="1"/>
      <c r="M191" s="1"/>
      <c r="N191" s="1"/>
    </row>
    <row r="192" ht="27.75" customHeight="1">
      <c r="A192" s="1"/>
      <c r="B192" s="10"/>
      <c r="C192" s="11"/>
      <c r="D192" s="10"/>
      <c r="E192" s="12"/>
      <c r="F192" s="43"/>
      <c r="G192" s="43"/>
      <c r="H192" s="13"/>
      <c r="I192" s="13"/>
      <c r="J192" s="14" t="str">
        <f t="shared" si="1"/>
        <v/>
      </c>
      <c r="K192" s="10"/>
      <c r="L192" s="1"/>
      <c r="M192" s="1"/>
      <c r="N192" s="1"/>
    </row>
    <row r="193" ht="27.75" customHeight="1">
      <c r="A193" s="1"/>
      <c r="B193" s="10"/>
      <c r="C193" s="11"/>
      <c r="D193" s="10"/>
      <c r="E193" s="12"/>
      <c r="F193" s="43"/>
      <c r="G193" s="43"/>
      <c r="H193" s="13"/>
      <c r="I193" s="13"/>
      <c r="J193" s="14" t="str">
        <f t="shared" si="1"/>
        <v/>
      </c>
      <c r="K193" s="10"/>
      <c r="L193" s="1"/>
      <c r="M193" s="1"/>
      <c r="N193" s="1"/>
    </row>
    <row r="194" ht="27.75" customHeight="1">
      <c r="A194" s="1"/>
      <c r="B194" s="10"/>
      <c r="C194" s="11"/>
      <c r="D194" s="10"/>
      <c r="E194" s="12"/>
      <c r="F194" s="43"/>
      <c r="G194" s="43"/>
      <c r="H194" s="13"/>
      <c r="I194" s="13"/>
      <c r="J194" s="14" t="str">
        <f t="shared" si="1"/>
        <v/>
      </c>
      <c r="K194" s="10"/>
      <c r="L194" s="1"/>
      <c r="M194" s="1"/>
      <c r="N194" s="1"/>
    </row>
    <row r="195" ht="27.75" customHeight="1">
      <c r="A195" s="1"/>
      <c r="B195" s="10"/>
      <c r="C195" s="11"/>
      <c r="D195" s="10"/>
      <c r="E195" s="12"/>
      <c r="F195" s="43"/>
      <c r="G195" s="43"/>
      <c r="H195" s="13"/>
      <c r="I195" s="13"/>
      <c r="J195" s="14" t="str">
        <f t="shared" si="1"/>
        <v/>
      </c>
      <c r="K195" s="10"/>
      <c r="L195" s="1"/>
      <c r="M195" s="1"/>
      <c r="N195" s="1"/>
    </row>
    <row r="196" ht="27.75" customHeight="1">
      <c r="A196" s="1"/>
      <c r="B196" s="10"/>
      <c r="C196" s="11"/>
      <c r="D196" s="10"/>
      <c r="E196" s="12"/>
      <c r="F196" s="43"/>
      <c r="G196" s="43"/>
      <c r="H196" s="13"/>
      <c r="I196" s="13"/>
      <c r="J196" s="14" t="str">
        <f t="shared" si="1"/>
        <v/>
      </c>
      <c r="K196" s="10"/>
      <c r="L196" s="1"/>
      <c r="M196" s="1"/>
      <c r="N196" s="1"/>
    </row>
    <row r="197" ht="27.75" customHeight="1">
      <c r="A197" s="1"/>
      <c r="B197" s="10"/>
      <c r="C197" s="11"/>
      <c r="D197" s="10"/>
      <c r="E197" s="12"/>
      <c r="F197" s="43"/>
      <c r="G197" s="43"/>
      <c r="H197" s="13"/>
      <c r="I197" s="13"/>
      <c r="J197" s="14" t="str">
        <f t="shared" si="1"/>
        <v/>
      </c>
      <c r="K197" s="10"/>
      <c r="L197" s="1"/>
      <c r="M197" s="1"/>
      <c r="N197" s="1"/>
    </row>
    <row r="198" ht="27.75" customHeight="1">
      <c r="A198" s="1"/>
      <c r="B198" s="10"/>
      <c r="C198" s="11"/>
      <c r="D198" s="10"/>
      <c r="E198" s="12"/>
      <c r="F198" s="43"/>
      <c r="G198" s="43"/>
      <c r="H198" s="13"/>
      <c r="I198" s="13"/>
      <c r="J198" s="14" t="str">
        <f t="shared" si="1"/>
        <v/>
      </c>
      <c r="K198" s="10"/>
      <c r="L198" s="1"/>
      <c r="M198" s="1"/>
      <c r="N198" s="1"/>
    </row>
    <row r="199" ht="27.75" customHeight="1">
      <c r="A199" s="1"/>
      <c r="B199" s="10"/>
      <c r="C199" s="11"/>
      <c r="D199" s="10"/>
      <c r="E199" s="12"/>
      <c r="F199" s="43"/>
      <c r="G199" s="43"/>
      <c r="H199" s="13"/>
      <c r="I199" s="13"/>
      <c r="J199" s="14" t="str">
        <f t="shared" si="1"/>
        <v/>
      </c>
      <c r="K199" s="10"/>
      <c r="L199" s="1"/>
      <c r="M199" s="1"/>
      <c r="N199" s="1"/>
    </row>
    <row r="200" ht="27.75" customHeight="1">
      <c r="A200" s="1"/>
      <c r="B200" s="10"/>
      <c r="C200" s="11"/>
      <c r="D200" s="10"/>
      <c r="E200" s="12"/>
      <c r="F200" s="43"/>
      <c r="G200" s="43"/>
      <c r="H200" s="13"/>
      <c r="I200" s="13"/>
      <c r="J200" s="14" t="str">
        <f t="shared" si="1"/>
        <v/>
      </c>
      <c r="K200" s="10"/>
      <c r="L200" s="1"/>
      <c r="M200" s="1"/>
      <c r="N200" s="1"/>
    </row>
    <row r="201" ht="27.75" customHeight="1">
      <c r="A201" s="1"/>
      <c r="B201" s="10"/>
      <c r="C201" s="11"/>
      <c r="D201" s="10"/>
      <c r="E201" s="12"/>
      <c r="F201" s="43"/>
      <c r="G201" s="43"/>
      <c r="H201" s="13"/>
      <c r="I201" s="13"/>
      <c r="J201" s="14" t="str">
        <f t="shared" si="1"/>
        <v/>
      </c>
      <c r="K201" s="10"/>
      <c r="L201" s="1"/>
      <c r="M201" s="1"/>
      <c r="N201" s="1"/>
    </row>
    <row r="202" ht="27.75" customHeight="1">
      <c r="A202" s="1"/>
      <c r="B202" s="10"/>
      <c r="C202" s="11"/>
      <c r="D202" s="10"/>
      <c r="E202" s="12"/>
      <c r="F202" s="43"/>
      <c r="G202" s="43"/>
      <c r="H202" s="13"/>
      <c r="I202" s="13"/>
      <c r="J202" s="14" t="str">
        <f t="shared" si="1"/>
        <v/>
      </c>
      <c r="K202" s="10"/>
      <c r="L202" s="1"/>
      <c r="M202" s="1"/>
      <c r="N202" s="1"/>
    </row>
    <row r="203" ht="27.75" customHeight="1">
      <c r="A203" s="1"/>
      <c r="B203" s="10"/>
      <c r="C203" s="11"/>
      <c r="D203" s="10"/>
      <c r="E203" s="12"/>
      <c r="F203" s="43"/>
      <c r="G203" s="43"/>
      <c r="H203" s="13"/>
      <c r="I203" s="13"/>
      <c r="J203" s="14" t="str">
        <f t="shared" si="1"/>
        <v/>
      </c>
      <c r="K203" s="10"/>
      <c r="L203" s="1"/>
      <c r="M203" s="1"/>
      <c r="N203" s="1"/>
    </row>
    <row r="204" ht="27.75" customHeight="1">
      <c r="A204" s="1"/>
      <c r="B204" s="10"/>
      <c r="C204" s="11"/>
      <c r="D204" s="10"/>
      <c r="E204" s="12"/>
      <c r="F204" s="43"/>
      <c r="G204" s="43"/>
      <c r="H204" s="13"/>
      <c r="I204" s="13"/>
      <c r="J204" s="14" t="str">
        <f t="shared" si="1"/>
        <v/>
      </c>
      <c r="K204" s="10"/>
      <c r="L204" s="1"/>
      <c r="M204" s="1"/>
      <c r="N204" s="1"/>
    </row>
    <row r="205" ht="27.75" customHeight="1">
      <c r="A205" s="1"/>
      <c r="B205" s="10"/>
      <c r="C205" s="11"/>
      <c r="D205" s="10"/>
      <c r="E205" s="12"/>
      <c r="F205" s="43"/>
      <c r="G205" s="43"/>
      <c r="H205" s="13"/>
      <c r="I205" s="13"/>
      <c r="J205" s="14" t="str">
        <f t="shared" si="1"/>
        <v/>
      </c>
      <c r="K205" s="10"/>
      <c r="L205" s="1"/>
      <c r="M205" s="1"/>
      <c r="N205" s="1"/>
    </row>
    <row r="206" ht="27.75" customHeight="1">
      <c r="A206" s="1"/>
      <c r="B206" s="10"/>
      <c r="C206" s="11"/>
      <c r="D206" s="10"/>
      <c r="E206" s="12"/>
      <c r="F206" s="43"/>
      <c r="G206" s="43"/>
      <c r="H206" s="13"/>
      <c r="I206" s="13"/>
      <c r="J206" s="14" t="str">
        <f t="shared" si="1"/>
        <v/>
      </c>
      <c r="K206" s="10"/>
      <c r="L206" s="1"/>
      <c r="M206" s="1"/>
      <c r="N206" s="1"/>
    </row>
    <row r="207" ht="27.75" customHeight="1">
      <c r="A207" s="1"/>
      <c r="B207" s="10"/>
      <c r="C207" s="11"/>
      <c r="D207" s="10"/>
      <c r="E207" s="12"/>
      <c r="F207" s="43"/>
      <c r="G207" s="43"/>
      <c r="H207" s="13"/>
      <c r="I207" s="13"/>
      <c r="J207" s="14" t="str">
        <f t="shared" si="1"/>
        <v/>
      </c>
      <c r="K207" s="10"/>
      <c r="L207" s="1"/>
      <c r="M207" s="1"/>
      <c r="N207" s="1"/>
    </row>
    <row r="208" ht="27.75" customHeight="1">
      <c r="A208" s="1"/>
      <c r="B208" s="10"/>
      <c r="C208" s="11"/>
      <c r="D208" s="10"/>
      <c r="E208" s="12"/>
      <c r="F208" s="43"/>
      <c r="G208" s="43"/>
      <c r="H208" s="13"/>
      <c r="I208" s="13"/>
      <c r="J208" s="14" t="str">
        <f t="shared" si="1"/>
        <v/>
      </c>
      <c r="K208" s="10"/>
      <c r="L208" s="1"/>
      <c r="M208" s="1"/>
      <c r="N208" s="1"/>
    </row>
    <row r="209" ht="27.75" customHeight="1">
      <c r="A209" s="1"/>
      <c r="B209" s="10"/>
      <c r="C209" s="11"/>
      <c r="D209" s="10"/>
      <c r="E209" s="12"/>
      <c r="F209" s="43"/>
      <c r="G209" s="43"/>
      <c r="H209" s="13"/>
      <c r="I209" s="13"/>
      <c r="J209" s="14" t="str">
        <f t="shared" si="1"/>
        <v/>
      </c>
      <c r="K209" s="10"/>
      <c r="L209" s="1"/>
      <c r="M209" s="1"/>
      <c r="N209" s="1"/>
    </row>
    <row r="210" ht="27.75" customHeight="1">
      <c r="A210" s="1"/>
      <c r="B210" s="10"/>
      <c r="C210" s="11"/>
      <c r="D210" s="10"/>
      <c r="E210" s="12"/>
      <c r="F210" s="43"/>
      <c r="G210" s="43"/>
      <c r="H210" s="13"/>
      <c r="I210" s="13"/>
      <c r="J210" s="14" t="str">
        <f t="shared" si="1"/>
        <v/>
      </c>
      <c r="K210" s="10"/>
      <c r="L210" s="1"/>
      <c r="M210" s="1"/>
      <c r="N210" s="1"/>
    </row>
    <row r="211" ht="27.75" customHeight="1">
      <c r="A211" s="1"/>
      <c r="B211" s="10"/>
      <c r="C211" s="11"/>
      <c r="D211" s="10"/>
      <c r="E211" s="12"/>
      <c r="F211" s="43"/>
      <c r="G211" s="43"/>
      <c r="H211" s="13"/>
      <c r="I211" s="13"/>
      <c r="J211" s="14" t="str">
        <f t="shared" si="1"/>
        <v/>
      </c>
      <c r="K211" s="10"/>
      <c r="L211" s="1"/>
      <c r="M211" s="1"/>
      <c r="N211" s="1"/>
    </row>
    <row r="212" ht="27.75" customHeight="1">
      <c r="A212" s="1"/>
      <c r="B212" s="10"/>
      <c r="C212" s="11"/>
      <c r="D212" s="10"/>
      <c r="E212" s="12"/>
      <c r="F212" s="43"/>
      <c r="G212" s="43"/>
      <c r="H212" s="13"/>
      <c r="I212" s="13"/>
      <c r="J212" s="14" t="str">
        <f t="shared" si="1"/>
        <v/>
      </c>
      <c r="K212" s="10"/>
      <c r="L212" s="1"/>
      <c r="M212" s="1"/>
      <c r="N212" s="1"/>
    </row>
    <row r="213" ht="27.75" customHeight="1">
      <c r="A213" s="1"/>
      <c r="B213" s="10"/>
      <c r="C213" s="11"/>
      <c r="D213" s="10"/>
      <c r="E213" s="12"/>
      <c r="F213" s="43"/>
      <c r="G213" s="43"/>
      <c r="H213" s="13"/>
      <c r="I213" s="13"/>
      <c r="J213" s="14" t="str">
        <f t="shared" si="1"/>
        <v/>
      </c>
      <c r="K213" s="10"/>
      <c r="L213" s="1"/>
      <c r="M213" s="1"/>
      <c r="N213" s="1"/>
    </row>
    <row r="214" ht="27.75" customHeight="1">
      <c r="A214" s="1"/>
      <c r="B214" s="10"/>
      <c r="C214" s="11"/>
      <c r="D214" s="10"/>
      <c r="E214" s="12"/>
      <c r="F214" s="43"/>
      <c r="G214" s="43"/>
      <c r="H214" s="13"/>
      <c r="I214" s="13"/>
      <c r="J214" s="14" t="str">
        <f t="shared" si="1"/>
        <v/>
      </c>
      <c r="K214" s="10"/>
      <c r="L214" s="1"/>
      <c r="M214" s="1"/>
      <c r="N214" s="1"/>
    </row>
    <row r="215" ht="27.75" customHeight="1">
      <c r="A215" s="1"/>
      <c r="B215" s="10"/>
      <c r="C215" s="11"/>
      <c r="D215" s="10"/>
      <c r="E215" s="12"/>
      <c r="F215" s="43"/>
      <c r="G215" s="43"/>
      <c r="H215" s="13"/>
      <c r="I215" s="13"/>
      <c r="J215" s="14" t="str">
        <f t="shared" si="1"/>
        <v/>
      </c>
      <c r="K215" s="10"/>
      <c r="L215" s="1"/>
      <c r="M215" s="1"/>
      <c r="N215" s="1"/>
    </row>
    <row r="216" ht="27.75" customHeight="1">
      <c r="A216" s="1"/>
      <c r="B216" s="10"/>
      <c r="C216" s="11"/>
      <c r="D216" s="10"/>
      <c r="E216" s="12"/>
      <c r="F216" s="43"/>
      <c r="G216" s="43"/>
      <c r="H216" s="13"/>
      <c r="I216" s="13"/>
      <c r="J216" s="14" t="str">
        <f t="shared" si="1"/>
        <v/>
      </c>
      <c r="K216" s="10"/>
      <c r="L216" s="1"/>
      <c r="M216" s="1"/>
      <c r="N216" s="1"/>
    </row>
    <row r="217" ht="27.75" customHeight="1">
      <c r="A217" s="1"/>
      <c r="B217" s="10"/>
      <c r="C217" s="11"/>
      <c r="D217" s="10"/>
      <c r="E217" s="12"/>
      <c r="F217" s="43"/>
      <c r="G217" s="43"/>
      <c r="H217" s="13"/>
      <c r="I217" s="13"/>
      <c r="J217" s="14" t="str">
        <f t="shared" si="1"/>
        <v/>
      </c>
      <c r="K217" s="10"/>
      <c r="L217" s="1"/>
      <c r="M217" s="1"/>
      <c r="N217" s="1"/>
    </row>
    <row r="218" ht="27.75" customHeight="1">
      <c r="A218" s="1"/>
      <c r="B218" s="10"/>
      <c r="C218" s="11"/>
      <c r="D218" s="10"/>
      <c r="E218" s="12"/>
      <c r="F218" s="43"/>
      <c r="G218" s="43"/>
      <c r="H218" s="13"/>
      <c r="I218" s="13"/>
      <c r="J218" s="14" t="str">
        <f t="shared" si="1"/>
        <v/>
      </c>
      <c r="K218" s="10"/>
      <c r="L218" s="1"/>
      <c r="M218" s="1"/>
      <c r="N218" s="1"/>
    </row>
    <row r="219" ht="27.75" customHeight="1">
      <c r="A219" s="1"/>
      <c r="B219" s="10"/>
      <c r="C219" s="11"/>
      <c r="D219" s="10"/>
      <c r="E219" s="12"/>
      <c r="F219" s="43"/>
      <c r="G219" s="43"/>
      <c r="H219" s="13"/>
      <c r="I219" s="13"/>
      <c r="J219" s="14" t="str">
        <f t="shared" si="1"/>
        <v/>
      </c>
      <c r="K219" s="10"/>
      <c r="L219" s="1"/>
      <c r="M219" s="1"/>
      <c r="N219" s="1"/>
    </row>
    <row r="220" ht="27.75" customHeight="1">
      <c r="A220" s="1"/>
      <c r="B220" s="10"/>
      <c r="C220" s="11"/>
      <c r="D220" s="10"/>
      <c r="E220" s="12"/>
      <c r="F220" s="43"/>
      <c r="G220" s="43"/>
      <c r="H220" s="13"/>
      <c r="I220" s="13"/>
      <c r="J220" s="14" t="str">
        <f t="shared" si="1"/>
        <v/>
      </c>
      <c r="K220" s="10"/>
      <c r="L220" s="1"/>
      <c r="M220" s="1"/>
      <c r="N220" s="1"/>
    </row>
    <row r="221" ht="27.75" customHeight="1">
      <c r="A221" s="1"/>
      <c r="B221" s="10"/>
      <c r="C221" s="11"/>
      <c r="D221" s="10"/>
      <c r="E221" s="12"/>
      <c r="F221" s="43"/>
      <c r="G221" s="43"/>
      <c r="H221" s="13"/>
      <c r="I221" s="13"/>
      <c r="J221" s="14" t="str">
        <f t="shared" si="1"/>
        <v/>
      </c>
      <c r="K221" s="10"/>
      <c r="L221" s="1"/>
      <c r="M221" s="1"/>
      <c r="N221" s="1"/>
    </row>
    <row r="222" ht="27.75" customHeight="1">
      <c r="A222" s="1"/>
      <c r="B222" s="10"/>
      <c r="C222" s="11"/>
      <c r="D222" s="10"/>
      <c r="E222" s="12"/>
      <c r="F222" s="43"/>
      <c r="G222" s="43"/>
      <c r="H222" s="13"/>
      <c r="I222" s="13"/>
      <c r="J222" s="14" t="str">
        <f t="shared" si="1"/>
        <v/>
      </c>
      <c r="K222" s="10"/>
      <c r="L222" s="1"/>
      <c r="M222" s="1"/>
      <c r="N222" s="1"/>
    </row>
    <row r="223" ht="27.75" customHeight="1">
      <c r="A223" s="1"/>
      <c r="B223" s="10"/>
      <c r="C223" s="11"/>
      <c r="D223" s="10"/>
      <c r="E223" s="12"/>
      <c r="F223" s="43"/>
      <c r="G223" s="43"/>
      <c r="H223" s="13"/>
      <c r="I223" s="13"/>
      <c r="J223" s="14" t="str">
        <f t="shared" si="1"/>
        <v/>
      </c>
      <c r="K223" s="10"/>
      <c r="L223" s="1"/>
      <c r="M223" s="1"/>
      <c r="N223" s="1"/>
    </row>
    <row r="224" ht="27.75" customHeight="1">
      <c r="A224" s="1"/>
      <c r="B224" s="10"/>
      <c r="C224" s="11"/>
      <c r="D224" s="10"/>
      <c r="E224" s="12"/>
      <c r="F224" s="43"/>
      <c r="G224" s="43"/>
      <c r="H224" s="13"/>
      <c r="I224" s="13"/>
      <c r="J224" s="14" t="str">
        <f t="shared" si="1"/>
        <v/>
      </c>
      <c r="K224" s="10"/>
      <c r="L224" s="1"/>
      <c r="M224" s="1"/>
      <c r="N224" s="1"/>
    </row>
    <row r="225" ht="27.75" customHeight="1">
      <c r="A225" s="1"/>
      <c r="B225" s="10"/>
      <c r="C225" s="11"/>
      <c r="D225" s="10"/>
      <c r="E225" s="12"/>
      <c r="F225" s="43"/>
      <c r="G225" s="43"/>
      <c r="H225" s="13"/>
      <c r="I225" s="13"/>
      <c r="J225" s="14" t="str">
        <f t="shared" si="1"/>
        <v/>
      </c>
      <c r="K225" s="10"/>
      <c r="L225" s="1"/>
      <c r="M225" s="1"/>
      <c r="N225" s="1"/>
    </row>
    <row r="226" ht="27.75" customHeight="1">
      <c r="A226" s="1"/>
      <c r="B226" s="10"/>
      <c r="C226" s="11"/>
      <c r="D226" s="10"/>
      <c r="E226" s="12"/>
      <c r="F226" s="43"/>
      <c r="G226" s="43"/>
      <c r="H226" s="13"/>
      <c r="I226" s="13"/>
      <c r="J226" s="14" t="str">
        <f t="shared" si="1"/>
        <v/>
      </c>
      <c r="K226" s="10"/>
      <c r="L226" s="1"/>
      <c r="M226" s="1"/>
      <c r="N226" s="1"/>
    </row>
    <row r="227" ht="27.75" customHeight="1">
      <c r="A227" s="1"/>
      <c r="B227" s="10"/>
      <c r="C227" s="11"/>
      <c r="D227" s="10"/>
      <c r="E227" s="12"/>
      <c r="F227" s="43"/>
      <c r="G227" s="43"/>
      <c r="H227" s="13"/>
      <c r="I227" s="13"/>
      <c r="J227" s="14" t="str">
        <f t="shared" si="1"/>
        <v/>
      </c>
      <c r="K227" s="10"/>
      <c r="L227" s="1"/>
      <c r="M227" s="1"/>
      <c r="N227" s="1"/>
    </row>
    <row r="228" ht="27.75" customHeight="1">
      <c r="A228" s="1"/>
      <c r="B228" s="10"/>
      <c r="C228" s="11"/>
      <c r="D228" s="10"/>
      <c r="E228" s="12"/>
      <c r="F228" s="43"/>
      <c r="G228" s="43"/>
      <c r="H228" s="13"/>
      <c r="I228" s="13"/>
      <c r="J228" s="14" t="str">
        <f t="shared" si="1"/>
        <v/>
      </c>
      <c r="K228" s="10"/>
      <c r="L228" s="1"/>
      <c r="M228" s="1"/>
      <c r="N228" s="1"/>
    </row>
    <row r="229" ht="27.75" customHeight="1">
      <c r="A229" s="1"/>
      <c r="B229" s="10"/>
      <c r="C229" s="11"/>
      <c r="D229" s="10"/>
      <c r="E229" s="12"/>
      <c r="F229" s="43"/>
      <c r="G229" s="43"/>
      <c r="H229" s="13"/>
      <c r="I229" s="13"/>
      <c r="J229" s="14" t="str">
        <f t="shared" si="1"/>
        <v/>
      </c>
      <c r="K229" s="10"/>
      <c r="L229" s="1"/>
      <c r="M229" s="1"/>
      <c r="N229" s="1"/>
    </row>
    <row r="230" ht="27.75" customHeight="1">
      <c r="A230" s="1"/>
      <c r="B230" s="10"/>
      <c r="C230" s="11"/>
      <c r="D230" s="10"/>
      <c r="E230" s="12"/>
      <c r="F230" s="43"/>
      <c r="G230" s="43"/>
      <c r="H230" s="13"/>
      <c r="I230" s="13"/>
      <c r="J230" s="14" t="str">
        <f t="shared" si="1"/>
        <v/>
      </c>
      <c r="K230" s="10"/>
      <c r="L230" s="1"/>
      <c r="M230" s="1"/>
      <c r="N230" s="1"/>
    </row>
    <row r="231" ht="27.75" customHeight="1">
      <c r="A231" s="1"/>
      <c r="B231" s="10"/>
      <c r="C231" s="11"/>
      <c r="D231" s="10"/>
      <c r="E231" s="12"/>
      <c r="F231" s="43"/>
      <c r="G231" s="43"/>
      <c r="H231" s="13"/>
      <c r="I231" s="13"/>
      <c r="J231" s="14" t="str">
        <f t="shared" si="1"/>
        <v/>
      </c>
      <c r="K231" s="10"/>
      <c r="L231" s="1"/>
      <c r="M231" s="1"/>
      <c r="N231" s="1"/>
    </row>
    <row r="232" ht="27.75" customHeight="1">
      <c r="A232" s="1"/>
      <c r="B232" s="10"/>
      <c r="C232" s="11"/>
      <c r="D232" s="10"/>
      <c r="E232" s="12"/>
      <c r="F232" s="43"/>
      <c r="G232" s="43"/>
      <c r="H232" s="13"/>
      <c r="I232" s="13"/>
      <c r="J232" s="14" t="str">
        <f t="shared" si="1"/>
        <v/>
      </c>
      <c r="K232" s="10"/>
      <c r="L232" s="1"/>
      <c r="M232" s="1"/>
      <c r="N232" s="1"/>
    </row>
    <row r="233" ht="27.75" customHeight="1">
      <c r="A233" s="1"/>
      <c r="B233" s="10"/>
      <c r="C233" s="11"/>
      <c r="D233" s="10"/>
      <c r="E233" s="12"/>
      <c r="F233" s="43"/>
      <c r="G233" s="43"/>
      <c r="H233" s="13"/>
      <c r="I233" s="13"/>
      <c r="J233" s="14" t="str">
        <f t="shared" si="1"/>
        <v/>
      </c>
      <c r="K233" s="10"/>
      <c r="L233" s="1"/>
      <c r="M233" s="1"/>
      <c r="N233" s="1"/>
    </row>
    <row r="234" ht="27.75" customHeight="1">
      <c r="A234" s="1"/>
      <c r="B234" s="10"/>
      <c r="C234" s="11"/>
      <c r="D234" s="10"/>
      <c r="E234" s="12"/>
      <c r="F234" s="43"/>
      <c r="G234" s="43"/>
      <c r="H234" s="13"/>
      <c r="I234" s="13"/>
      <c r="J234" s="14" t="str">
        <f t="shared" si="1"/>
        <v/>
      </c>
      <c r="K234" s="10"/>
      <c r="L234" s="1"/>
      <c r="M234" s="1"/>
      <c r="N234" s="1"/>
    </row>
    <row r="235" ht="27.75" customHeight="1">
      <c r="A235" s="1"/>
      <c r="B235" s="10"/>
      <c r="C235" s="11"/>
      <c r="D235" s="10"/>
      <c r="E235" s="12"/>
      <c r="F235" s="43"/>
      <c r="G235" s="43"/>
      <c r="H235" s="13"/>
      <c r="I235" s="13"/>
      <c r="J235" s="14" t="str">
        <f t="shared" si="1"/>
        <v/>
      </c>
      <c r="K235" s="10"/>
      <c r="L235" s="1"/>
      <c r="M235" s="1"/>
      <c r="N235" s="1"/>
    </row>
    <row r="236" ht="27.75" customHeight="1">
      <c r="A236" s="1"/>
      <c r="B236" s="10"/>
      <c r="C236" s="11"/>
      <c r="D236" s="10"/>
      <c r="E236" s="12"/>
      <c r="F236" s="43"/>
      <c r="G236" s="43"/>
      <c r="H236" s="13"/>
      <c r="I236" s="13"/>
      <c r="J236" s="14" t="str">
        <f t="shared" si="1"/>
        <v/>
      </c>
      <c r="K236" s="10"/>
      <c r="L236" s="1"/>
      <c r="M236" s="1"/>
      <c r="N236" s="1"/>
    </row>
    <row r="237" ht="27.75" customHeight="1">
      <c r="A237" s="1"/>
      <c r="B237" s="10"/>
      <c r="C237" s="11"/>
      <c r="D237" s="10"/>
      <c r="E237" s="12"/>
      <c r="F237" s="43"/>
      <c r="G237" s="43"/>
      <c r="H237" s="13"/>
      <c r="I237" s="13"/>
      <c r="J237" s="14" t="str">
        <f t="shared" si="1"/>
        <v/>
      </c>
      <c r="K237" s="10"/>
      <c r="L237" s="1"/>
      <c r="M237" s="1"/>
      <c r="N237" s="1"/>
    </row>
    <row r="238" ht="27.75" customHeight="1">
      <c r="A238" s="1"/>
      <c r="B238" s="10"/>
      <c r="C238" s="11"/>
      <c r="D238" s="10"/>
      <c r="E238" s="12"/>
      <c r="F238" s="43"/>
      <c r="G238" s="43"/>
      <c r="H238" s="13"/>
      <c r="I238" s="13"/>
      <c r="J238" s="14" t="str">
        <f t="shared" si="1"/>
        <v/>
      </c>
      <c r="K238" s="10"/>
      <c r="L238" s="1"/>
      <c r="M238" s="1"/>
      <c r="N238" s="1"/>
    </row>
    <row r="239" ht="27.75" customHeight="1">
      <c r="A239" s="1"/>
      <c r="B239" s="10"/>
      <c r="C239" s="11"/>
      <c r="D239" s="10"/>
      <c r="E239" s="12"/>
      <c r="F239" s="43"/>
      <c r="G239" s="43"/>
      <c r="H239" s="13"/>
      <c r="I239" s="13"/>
      <c r="J239" s="14" t="str">
        <f t="shared" si="1"/>
        <v/>
      </c>
      <c r="K239" s="10"/>
      <c r="L239" s="1"/>
      <c r="M239" s="1"/>
      <c r="N239" s="1"/>
    </row>
    <row r="240" ht="27.75" customHeight="1">
      <c r="A240" s="1"/>
      <c r="B240" s="10"/>
      <c r="C240" s="11"/>
      <c r="D240" s="10"/>
      <c r="E240" s="12"/>
      <c r="F240" s="43"/>
      <c r="G240" s="43"/>
      <c r="H240" s="13"/>
      <c r="I240" s="13"/>
      <c r="J240" s="14" t="str">
        <f t="shared" si="1"/>
        <v/>
      </c>
      <c r="K240" s="10"/>
      <c r="L240" s="1"/>
      <c r="M240" s="1"/>
      <c r="N240" s="1"/>
    </row>
    <row r="241" ht="27.75" customHeight="1">
      <c r="A241" s="1"/>
      <c r="B241" s="10"/>
      <c r="C241" s="11"/>
      <c r="D241" s="10"/>
      <c r="E241" s="12"/>
      <c r="F241" s="43"/>
      <c r="G241" s="43"/>
      <c r="H241" s="13"/>
      <c r="I241" s="13"/>
      <c r="J241" s="14" t="str">
        <f t="shared" si="1"/>
        <v/>
      </c>
      <c r="K241" s="10"/>
      <c r="L241" s="1"/>
      <c r="M241" s="1"/>
      <c r="N241" s="1"/>
    </row>
    <row r="242" ht="27.75" customHeight="1">
      <c r="A242" s="1"/>
      <c r="B242" s="10"/>
      <c r="C242" s="11"/>
      <c r="D242" s="10"/>
      <c r="E242" s="12"/>
      <c r="F242" s="43"/>
      <c r="G242" s="43"/>
      <c r="H242" s="13"/>
      <c r="I242" s="13"/>
      <c r="J242" s="14" t="str">
        <f t="shared" si="1"/>
        <v/>
      </c>
      <c r="K242" s="10"/>
      <c r="L242" s="1"/>
      <c r="M242" s="1"/>
      <c r="N242" s="1"/>
    </row>
    <row r="243" ht="27.75" customHeight="1">
      <c r="A243" s="1"/>
      <c r="B243" s="10"/>
      <c r="C243" s="11"/>
      <c r="D243" s="10"/>
      <c r="E243" s="12"/>
      <c r="F243" s="43"/>
      <c r="G243" s="43"/>
      <c r="H243" s="13"/>
      <c r="I243" s="13"/>
      <c r="J243" s="14" t="str">
        <f t="shared" si="1"/>
        <v/>
      </c>
      <c r="K243" s="10"/>
      <c r="L243" s="1"/>
      <c r="M243" s="1"/>
      <c r="N243" s="1"/>
    </row>
    <row r="244" ht="27.75" customHeight="1">
      <c r="A244" s="1"/>
      <c r="B244" s="10"/>
      <c r="C244" s="11"/>
      <c r="D244" s="10"/>
      <c r="E244" s="12"/>
      <c r="F244" s="43"/>
      <c r="G244" s="43"/>
      <c r="H244" s="13"/>
      <c r="I244" s="13"/>
      <c r="J244" s="14" t="str">
        <f t="shared" si="1"/>
        <v/>
      </c>
      <c r="K244" s="10"/>
      <c r="L244" s="1"/>
      <c r="M244" s="1"/>
      <c r="N244" s="1"/>
    </row>
    <row r="245" ht="27.75" customHeight="1">
      <c r="A245" s="1"/>
      <c r="B245" s="10"/>
      <c r="C245" s="11"/>
      <c r="D245" s="10"/>
      <c r="E245" s="12"/>
      <c r="F245" s="43"/>
      <c r="G245" s="43"/>
      <c r="H245" s="13"/>
      <c r="I245" s="13"/>
      <c r="J245" s="14" t="str">
        <f t="shared" si="1"/>
        <v/>
      </c>
      <c r="K245" s="10"/>
      <c r="L245" s="1"/>
      <c r="M245" s="1"/>
      <c r="N245" s="1"/>
    </row>
    <row r="246" ht="27.75" customHeight="1">
      <c r="A246" s="1"/>
      <c r="B246" s="10"/>
      <c r="C246" s="11"/>
      <c r="D246" s="10"/>
      <c r="E246" s="12"/>
      <c r="F246" s="43"/>
      <c r="G246" s="43"/>
      <c r="H246" s="13"/>
      <c r="I246" s="13"/>
      <c r="J246" s="14" t="str">
        <f t="shared" si="1"/>
        <v/>
      </c>
      <c r="K246" s="10"/>
      <c r="L246" s="1"/>
      <c r="M246" s="1"/>
      <c r="N246" s="1"/>
    </row>
    <row r="247" ht="27.75" customHeight="1">
      <c r="A247" s="1"/>
      <c r="B247" s="10"/>
      <c r="C247" s="11"/>
      <c r="D247" s="10"/>
      <c r="E247" s="12"/>
      <c r="F247" s="43"/>
      <c r="G247" s="43"/>
      <c r="H247" s="13"/>
      <c r="I247" s="13"/>
      <c r="J247" s="14" t="str">
        <f t="shared" si="1"/>
        <v/>
      </c>
      <c r="K247" s="10"/>
      <c r="L247" s="1"/>
      <c r="M247" s="1"/>
      <c r="N247" s="1"/>
    </row>
    <row r="248" ht="27.75" customHeight="1">
      <c r="A248" s="1"/>
      <c r="B248" s="10"/>
      <c r="C248" s="11"/>
      <c r="D248" s="10"/>
      <c r="E248" s="12"/>
      <c r="F248" s="43"/>
      <c r="G248" s="43"/>
      <c r="H248" s="13"/>
      <c r="I248" s="13"/>
      <c r="J248" s="14" t="str">
        <f t="shared" si="1"/>
        <v/>
      </c>
      <c r="K248" s="10"/>
      <c r="L248" s="1"/>
      <c r="M248" s="1"/>
      <c r="N248" s="1"/>
    </row>
    <row r="249" ht="27.75" customHeight="1">
      <c r="A249" s="1"/>
      <c r="B249" s="10"/>
      <c r="C249" s="11"/>
      <c r="D249" s="10"/>
      <c r="E249" s="12"/>
      <c r="F249" s="43"/>
      <c r="G249" s="43"/>
      <c r="H249" s="13"/>
      <c r="I249" s="13"/>
      <c r="J249" s="14" t="str">
        <f t="shared" si="1"/>
        <v/>
      </c>
      <c r="K249" s="10"/>
      <c r="L249" s="1"/>
      <c r="M249" s="1"/>
      <c r="N249" s="1"/>
    </row>
    <row r="250" ht="27.75" customHeight="1">
      <c r="A250" s="1"/>
      <c r="B250" s="10"/>
      <c r="C250" s="11"/>
      <c r="D250" s="10"/>
      <c r="E250" s="12"/>
      <c r="F250" s="43"/>
      <c r="G250" s="43"/>
      <c r="H250" s="13"/>
      <c r="I250" s="13"/>
      <c r="J250" s="14" t="str">
        <f t="shared" si="1"/>
        <v/>
      </c>
      <c r="K250" s="10"/>
      <c r="L250" s="1"/>
      <c r="M250" s="1"/>
      <c r="N250" s="1"/>
    </row>
    <row r="251" ht="27.75" customHeight="1">
      <c r="A251" s="1"/>
      <c r="B251" s="10"/>
      <c r="C251" s="11"/>
      <c r="D251" s="10"/>
      <c r="E251" s="12"/>
      <c r="F251" s="43"/>
      <c r="G251" s="43"/>
      <c r="H251" s="13"/>
      <c r="I251" s="13"/>
      <c r="J251" s="14" t="str">
        <f t="shared" si="1"/>
        <v/>
      </c>
      <c r="K251" s="10"/>
      <c r="L251" s="1"/>
      <c r="M251" s="1"/>
      <c r="N251" s="1"/>
    </row>
    <row r="252" ht="27.75" customHeight="1">
      <c r="A252" s="1"/>
      <c r="B252" s="10"/>
      <c r="C252" s="11"/>
      <c r="D252" s="10"/>
      <c r="E252" s="12"/>
      <c r="F252" s="43"/>
      <c r="G252" s="43"/>
      <c r="H252" s="13"/>
      <c r="I252" s="13"/>
      <c r="J252" s="14" t="str">
        <f t="shared" si="1"/>
        <v/>
      </c>
      <c r="K252" s="10"/>
      <c r="L252" s="1"/>
      <c r="M252" s="1"/>
      <c r="N252" s="1"/>
    </row>
    <row r="253" ht="27.75" customHeight="1">
      <c r="A253" s="1"/>
      <c r="B253" s="10"/>
      <c r="C253" s="11"/>
      <c r="D253" s="10"/>
      <c r="E253" s="12"/>
      <c r="F253" s="43"/>
      <c r="G253" s="43"/>
      <c r="H253" s="13"/>
      <c r="I253" s="13"/>
      <c r="J253" s="14" t="str">
        <f t="shared" si="1"/>
        <v/>
      </c>
      <c r="K253" s="10"/>
      <c r="L253" s="1"/>
      <c r="M253" s="1"/>
      <c r="N253" s="1"/>
    </row>
    <row r="254" ht="27.75" customHeight="1">
      <c r="A254" s="1"/>
      <c r="B254" s="10"/>
      <c r="C254" s="11"/>
      <c r="D254" s="10"/>
      <c r="E254" s="12"/>
      <c r="F254" s="43"/>
      <c r="G254" s="43"/>
      <c r="H254" s="13"/>
      <c r="I254" s="13"/>
      <c r="J254" s="14" t="str">
        <f t="shared" si="1"/>
        <v/>
      </c>
      <c r="K254" s="10"/>
      <c r="L254" s="1"/>
      <c r="M254" s="1"/>
      <c r="N254" s="1"/>
    </row>
    <row r="255" ht="27.75" customHeight="1">
      <c r="A255" s="1"/>
      <c r="B255" s="10"/>
      <c r="C255" s="11"/>
      <c r="D255" s="10"/>
      <c r="E255" s="12"/>
      <c r="F255" s="43"/>
      <c r="G255" s="43"/>
      <c r="H255" s="13"/>
      <c r="I255" s="13"/>
      <c r="J255" s="14" t="str">
        <f t="shared" si="1"/>
        <v/>
      </c>
      <c r="K255" s="10"/>
      <c r="L255" s="1"/>
      <c r="M255" s="1"/>
      <c r="N255" s="1"/>
    </row>
    <row r="256" ht="27.75" customHeight="1">
      <c r="A256" s="1"/>
      <c r="B256" s="10"/>
      <c r="C256" s="11"/>
      <c r="D256" s="10"/>
      <c r="E256" s="12"/>
      <c r="F256" s="43"/>
      <c r="G256" s="43"/>
      <c r="H256" s="13"/>
      <c r="I256" s="13"/>
      <c r="J256" s="14" t="str">
        <f t="shared" si="1"/>
        <v/>
      </c>
      <c r="K256" s="10"/>
      <c r="L256" s="1"/>
      <c r="M256" s="1"/>
      <c r="N256" s="1"/>
    </row>
    <row r="257" ht="27.75" customHeight="1">
      <c r="A257" s="1"/>
      <c r="B257" s="10"/>
      <c r="C257" s="11"/>
      <c r="D257" s="10"/>
      <c r="E257" s="12"/>
      <c r="F257" s="43"/>
      <c r="G257" s="43"/>
      <c r="H257" s="13"/>
      <c r="I257" s="13"/>
      <c r="J257" s="14" t="str">
        <f t="shared" si="1"/>
        <v/>
      </c>
      <c r="K257" s="10"/>
      <c r="L257" s="1"/>
      <c r="M257" s="1"/>
      <c r="N257" s="1"/>
    </row>
    <row r="258" ht="27.75" customHeight="1">
      <c r="A258" s="1"/>
      <c r="B258" s="10"/>
      <c r="C258" s="11"/>
      <c r="D258" s="10"/>
      <c r="E258" s="12"/>
      <c r="F258" s="43"/>
      <c r="G258" s="43"/>
      <c r="H258" s="13"/>
      <c r="I258" s="13"/>
      <c r="J258" s="14" t="str">
        <f t="shared" si="1"/>
        <v/>
      </c>
      <c r="K258" s="10"/>
      <c r="L258" s="1"/>
      <c r="M258" s="1"/>
      <c r="N258" s="1"/>
    </row>
    <row r="259" ht="27.75" customHeight="1">
      <c r="A259" s="1"/>
      <c r="B259" s="10"/>
      <c r="C259" s="11"/>
      <c r="D259" s="10"/>
      <c r="E259" s="12"/>
      <c r="F259" s="43"/>
      <c r="G259" s="43"/>
      <c r="H259" s="13"/>
      <c r="I259" s="13"/>
      <c r="J259" s="14" t="str">
        <f t="shared" si="1"/>
        <v/>
      </c>
      <c r="K259" s="10"/>
      <c r="L259" s="1"/>
      <c r="M259" s="1"/>
      <c r="N259" s="1"/>
    </row>
    <row r="260" ht="27.75" customHeight="1">
      <c r="A260" s="1"/>
      <c r="B260" s="10"/>
      <c r="C260" s="11"/>
      <c r="D260" s="10"/>
      <c r="E260" s="12"/>
      <c r="F260" s="43"/>
      <c r="G260" s="43"/>
      <c r="H260" s="13"/>
      <c r="I260" s="13"/>
      <c r="J260" s="14" t="str">
        <f t="shared" si="1"/>
        <v/>
      </c>
      <c r="K260" s="10"/>
      <c r="L260" s="1"/>
      <c r="M260" s="1"/>
      <c r="N260" s="1"/>
    </row>
    <row r="261" ht="27.75" customHeight="1">
      <c r="A261" s="1"/>
      <c r="B261" s="10"/>
      <c r="C261" s="11"/>
      <c r="D261" s="10"/>
      <c r="E261" s="12"/>
      <c r="F261" s="43"/>
      <c r="G261" s="43"/>
      <c r="H261" s="13"/>
      <c r="I261" s="13"/>
      <c r="J261" s="14" t="str">
        <f t="shared" si="1"/>
        <v/>
      </c>
      <c r="K261" s="10"/>
      <c r="L261" s="1"/>
      <c r="M261" s="1"/>
      <c r="N261" s="1"/>
    </row>
    <row r="262" ht="27.75" customHeight="1">
      <c r="A262" s="1"/>
      <c r="B262" s="10"/>
      <c r="C262" s="11"/>
      <c r="D262" s="10"/>
      <c r="E262" s="12"/>
      <c r="F262" s="43"/>
      <c r="G262" s="43"/>
      <c r="H262" s="13"/>
      <c r="I262" s="13"/>
      <c r="J262" s="14" t="str">
        <f t="shared" si="1"/>
        <v/>
      </c>
      <c r="K262" s="10"/>
      <c r="L262" s="1"/>
      <c r="M262" s="1"/>
      <c r="N262" s="1"/>
    </row>
    <row r="263" ht="27.75" customHeight="1">
      <c r="A263" s="1"/>
      <c r="B263" s="10"/>
      <c r="C263" s="11"/>
      <c r="D263" s="10"/>
      <c r="E263" s="12"/>
      <c r="F263" s="43"/>
      <c r="G263" s="43"/>
      <c r="H263" s="13"/>
      <c r="I263" s="13"/>
      <c r="J263" s="14" t="str">
        <f t="shared" si="1"/>
        <v/>
      </c>
      <c r="K263" s="10"/>
      <c r="L263" s="1"/>
      <c r="M263" s="1"/>
      <c r="N263" s="1"/>
    </row>
    <row r="264" ht="27.75" customHeight="1">
      <c r="A264" s="1"/>
      <c r="B264" s="10"/>
      <c r="C264" s="11"/>
      <c r="D264" s="10"/>
      <c r="E264" s="12"/>
      <c r="F264" s="43"/>
      <c r="G264" s="43"/>
      <c r="H264" s="13"/>
      <c r="I264" s="13"/>
      <c r="J264" s="14" t="str">
        <f t="shared" si="1"/>
        <v/>
      </c>
      <c r="K264" s="10"/>
      <c r="L264" s="1"/>
      <c r="M264" s="1"/>
      <c r="N264" s="1"/>
    </row>
    <row r="265" ht="27.75" customHeight="1">
      <c r="A265" s="1"/>
      <c r="B265" s="10"/>
      <c r="C265" s="11"/>
      <c r="D265" s="10"/>
      <c r="E265" s="12"/>
      <c r="F265" s="43"/>
      <c r="G265" s="43"/>
      <c r="H265" s="13"/>
      <c r="I265" s="13"/>
      <c r="J265" s="14" t="str">
        <f t="shared" si="1"/>
        <v/>
      </c>
      <c r="K265" s="10"/>
      <c r="L265" s="1"/>
      <c r="M265" s="1"/>
      <c r="N265" s="1"/>
    </row>
    <row r="266" ht="27.75" customHeight="1">
      <c r="A266" s="1"/>
      <c r="B266" s="10"/>
      <c r="C266" s="11"/>
      <c r="D266" s="10"/>
      <c r="E266" s="12"/>
      <c r="F266" s="43"/>
      <c r="G266" s="43"/>
      <c r="H266" s="13"/>
      <c r="I266" s="13"/>
      <c r="J266" s="14" t="str">
        <f t="shared" si="1"/>
        <v/>
      </c>
      <c r="K266" s="10"/>
      <c r="L266" s="1"/>
      <c r="M266" s="1"/>
      <c r="N266" s="1"/>
    </row>
    <row r="267" ht="27.75" customHeight="1">
      <c r="A267" s="1"/>
      <c r="B267" s="10"/>
      <c r="C267" s="11"/>
      <c r="D267" s="10"/>
      <c r="E267" s="12"/>
      <c r="F267" s="43"/>
      <c r="G267" s="43"/>
      <c r="H267" s="13"/>
      <c r="I267" s="13"/>
      <c r="J267" s="14" t="str">
        <f t="shared" si="1"/>
        <v/>
      </c>
      <c r="K267" s="10"/>
      <c r="L267" s="1"/>
      <c r="M267" s="1"/>
      <c r="N267" s="1"/>
    </row>
    <row r="268" ht="27.75" customHeight="1">
      <c r="A268" s="1"/>
      <c r="B268" s="10"/>
      <c r="C268" s="11"/>
      <c r="D268" s="10"/>
      <c r="E268" s="12"/>
      <c r="F268" s="43"/>
      <c r="G268" s="43"/>
      <c r="H268" s="13"/>
      <c r="I268" s="13"/>
      <c r="J268" s="14" t="str">
        <f t="shared" si="1"/>
        <v/>
      </c>
      <c r="K268" s="10"/>
      <c r="L268" s="1"/>
      <c r="M268" s="1"/>
      <c r="N268" s="1"/>
    </row>
    <row r="269" ht="27.75" customHeight="1">
      <c r="A269" s="1"/>
      <c r="B269" s="10"/>
      <c r="C269" s="11"/>
      <c r="D269" s="10"/>
      <c r="E269" s="12"/>
      <c r="F269" s="43"/>
      <c r="G269" s="43"/>
      <c r="H269" s="13"/>
      <c r="I269" s="13"/>
      <c r="J269" s="14" t="str">
        <f t="shared" si="1"/>
        <v/>
      </c>
      <c r="K269" s="10"/>
      <c r="L269" s="1"/>
      <c r="M269" s="1"/>
      <c r="N269" s="1"/>
    </row>
    <row r="270" ht="27.75" customHeight="1">
      <c r="A270" s="1"/>
      <c r="B270" s="10"/>
      <c r="C270" s="11"/>
      <c r="D270" s="10"/>
      <c r="E270" s="12"/>
      <c r="F270" s="43"/>
      <c r="G270" s="43"/>
      <c r="H270" s="13"/>
      <c r="I270" s="13"/>
      <c r="J270" s="14" t="str">
        <f t="shared" si="1"/>
        <v/>
      </c>
      <c r="K270" s="10"/>
      <c r="L270" s="1"/>
      <c r="M270" s="1"/>
      <c r="N270" s="1"/>
    </row>
    <row r="271" ht="27.75" customHeight="1">
      <c r="A271" s="1"/>
      <c r="B271" s="10"/>
      <c r="C271" s="11"/>
      <c r="D271" s="10"/>
      <c r="E271" s="12"/>
      <c r="F271" s="43"/>
      <c r="G271" s="43"/>
      <c r="H271" s="13"/>
      <c r="I271" s="13"/>
      <c r="J271" s="14" t="str">
        <f t="shared" si="1"/>
        <v/>
      </c>
      <c r="K271" s="10"/>
      <c r="L271" s="1"/>
      <c r="M271" s="1"/>
      <c r="N271" s="1"/>
    </row>
    <row r="272" ht="27.75" customHeight="1">
      <c r="A272" s="1"/>
      <c r="B272" s="10"/>
      <c r="C272" s="11"/>
      <c r="D272" s="10"/>
      <c r="E272" s="12"/>
      <c r="F272" s="43"/>
      <c r="G272" s="43"/>
      <c r="H272" s="13"/>
      <c r="I272" s="13"/>
      <c r="J272" s="14" t="str">
        <f t="shared" si="1"/>
        <v/>
      </c>
      <c r="K272" s="10"/>
      <c r="L272" s="1"/>
      <c r="M272" s="1"/>
      <c r="N272" s="1"/>
    </row>
    <row r="273" ht="27.75" customHeight="1">
      <c r="A273" s="1"/>
      <c r="B273" s="10"/>
      <c r="C273" s="11"/>
      <c r="D273" s="10"/>
      <c r="E273" s="12"/>
      <c r="F273" s="43"/>
      <c r="G273" s="43"/>
      <c r="H273" s="13"/>
      <c r="I273" s="13"/>
      <c r="J273" s="14" t="str">
        <f t="shared" si="1"/>
        <v/>
      </c>
      <c r="K273" s="10"/>
      <c r="L273" s="1"/>
      <c r="M273" s="1"/>
      <c r="N273" s="1"/>
    </row>
    <row r="274" ht="27.75" customHeight="1">
      <c r="A274" s="1"/>
      <c r="B274" s="10"/>
      <c r="C274" s="11"/>
      <c r="D274" s="10"/>
      <c r="E274" s="12"/>
      <c r="F274" s="43"/>
      <c r="G274" s="43"/>
      <c r="H274" s="13"/>
      <c r="I274" s="13"/>
      <c r="J274" s="14" t="str">
        <f t="shared" si="1"/>
        <v/>
      </c>
      <c r="K274" s="10"/>
      <c r="L274" s="1"/>
      <c r="M274" s="1"/>
      <c r="N274" s="1"/>
    </row>
    <row r="275" ht="27.75" customHeight="1">
      <c r="A275" s="1"/>
      <c r="B275" s="10"/>
      <c r="C275" s="11"/>
      <c r="D275" s="10"/>
      <c r="E275" s="12"/>
      <c r="F275" s="43"/>
      <c r="G275" s="43"/>
      <c r="H275" s="13"/>
      <c r="I275" s="13"/>
      <c r="J275" s="14" t="str">
        <f t="shared" si="1"/>
        <v/>
      </c>
      <c r="K275" s="10"/>
      <c r="L275" s="1"/>
      <c r="M275" s="1"/>
      <c r="N275" s="1"/>
    </row>
    <row r="276" ht="27.75" customHeight="1">
      <c r="A276" s="1"/>
      <c r="B276" s="10"/>
      <c r="C276" s="11"/>
      <c r="D276" s="10"/>
      <c r="E276" s="12"/>
      <c r="F276" s="43"/>
      <c r="G276" s="43"/>
      <c r="H276" s="13"/>
      <c r="I276" s="13"/>
      <c r="J276" s="14" t="str">
        <f t="shared" si="1"/>
        <v/>
      </c>
      <c r="K276" s="10"/>
      <c r="L276" s="1"/>
      <c r="M276" s="1"/>
      <c r="N276" s="1"/>
    </row>
    <row r="277" ht="27.75" customHeight="1">
      <c r="A277" s="1"/>
      <c r="B277" s="10"/>
      <c r="C277" s="11"/>
      <c r="D277" s="10"/>
      <c r="E277" s="12"/>
      <c r="F277" s="43"/>
      <c r="G277" s="43"/>
      <c r="H277" s="13"/>
      <c r="I277" s="13"/>
      <c r="J277" s="14" t="str">
        <f t="shared" si="1"/>
        <v/>
      </c>
      <c r="K277" s="10"/>
      <c r="L277" s="1"/>
      <c r="M277" s="1"/>
      <c r="N277" s="1"/>
    </row>
    <row r="278" ht="27.75" customHeight="1">
      <c r="A278" s="1"/>
      <c r="B278" s="10"/>
      <c r="C278" s="11"/>
      <c r="D278" s="10"/>
      <c r="E278" s="12"/>
      <c r="F278" s="43"/>
      <c r="G278" s="43"/>
      <c r="H278" s="13"/>
      <c r="I278" s="13"/>
      <c r="J278" s="14" t="str">
        <f t="shared" si="1"/>
        <v/>
      </c>
      <c r="K278" s="10"/>
      <c r="L278" s="1"/>
      <c r="M278" s="1"/>
      <c r="N278" s="1"/>
    </row>
    <row r="279" ht="27.75" customHeight="1">
      <c r="A279" s="1"/>
      <c r="B279" s="10"/>
      <c r="C279" s="11"/>
      <c r="D279" s="10"/>
      <c r="E279" s="12"/>
      <c r="F279" s="43"/>
      <c r="G279" s="43"/>
      <c r="H279" s="13"/>
      <c r="I279" s="13"/>
      <c r="J279" s="14" t="str">
        <f t="shared" si="1"/>
        <v/>
      </c>
      <c r="K279" s="10"/>
      <c r="L279" s="1"/>
      <c r="M279" s="1"/>
      <c r="N279" s="1"/>
    </row>
    <row r="280" ht="27.75" customHeight="1">
      <c r="A280" s="1"/>
      <c r="B280" s="10"/>
      <c r="C280" s="11"/>
      <c r="D280" s="10"/>
      <c r="E280" s="12"/>
      <c r="F280" s="43"/>
      <c r="G280" s="43"/>
      <c r="H280" s="13"/>
      <c r="I280" s="13"/>
      <c r="J280" s="14" t="str">
        <f t="shared" si="1"/>
        <v/>
      </c>
      <c r="K280" s="10"/>
      <c r="L280" s="1"/>
      <c r="M280" s="1"/>
      <c r="N280" s="1"/>
    </row>
    <row r="281" ht="27.75" customHeight="1">
      <c r="A281" s="1"/>
      <c r="B281" s="10"/>
      <c r="C281" s="11"/>
      <c r="D281" s="10"/>
      <c r="E281" s="12"/>
      <c r="F281" s="43"/>
      <c r="G281" s="43"/>
      <c r="H281" s="13"/>
      <c r="I281" s="13"/>
      <c r="J281" s="14" t="str">
        <f t="shared" si="1"/>
        <v/>
      </c>
      <c r="K281" s="10"/>
      <c r="L281" s="1"/>
      <c r="M281" s="1"/>
      <c r="N281" s="1"/>
    </row>
    <row r="282" ht="27.75" customHeight="1">
      <c r="A282" s="1"/>
      <c r="B282" s="10"/>
      <c r="C282" s="11"/>
      <c r="D282" s="10"/>
      <c r="E282" s="12"/>
      <c r="F282" s="43"/>
      <c r="G282" s="43"/>
      <c r="H282" s="13"/>
      <c r="I282" s="13"/>
      <c r="J282" s="14" t="str">
        <f t="shared" si="1"/>
        <v/>
      </c>
      <c r="K282" s="10"/>
      <c r="L282" s="1"/>
      <c r="M282" s="1"/>
      <c r="N282" s="1"/>
    </row>
    <row r="283" ht="27.75" customHeight="1">
      <c r="A283" s="1"/>
      <c r="B283" s="10"/>
      <c r="C283" s="11"/>
      <c r="D283" s="10"/>
      <c r="E283" s="12"/>
      <c r="F283" s="43"/>
      <c r="G283" s="43"/>
      <c r="H283" s="13"/>
      <c r="I283" s="13"/>
      <c r="J283" s="14" t="str">
        <f t="shared" si="1"/>
        <v/>
      </c>
      <c r="K283" s="10"/>
      <c r="L283" s="1"/>
      <c r="M283" s="1"/>
      <c r="N283" s="1"/>
    </row>
    <row r="284" ht="27.75" customHeight="1">
      <c r="A284" s="1"/>
      <c r="B284" s="10"/>
      <c r="C284" s="11"/>
      <c r="D284" s="10"/>
      <c r="E284" s="12"/>
      <c r="F284" s="43"/>
      <c r="G284" s="43"/>
      <c r="H284" s="13"/>
      <c r="I284" s="13"/>
      <c r="J284" s="14" t="str">
        <f t="shared" si="1"/>
        <v/>
      </c>
      <c r="K284" s="10"/>
      <c r="L284" s="1"/>
      <c r="M284" s="1"/>
      <c r="N284" s="1"/>
    </row>
    <row r="285" ht="27.75" customHeight="1">
      <c r="A285" s="1"/>
      <c r="B285" s="10"/>
      <c r="C285" s="11"/>
      <c r="D285" s="10"/>
      <c r="E285" s="12"/>
      <c r="F285" s="43"/>
      <c r="G285" s="43"/>
      <c r="H285" s="13"/>
      <c r="I285" s="13"/>
      <c r="J285" s="14" t="str">
        <f t="shared" si="1"/>
        <v/>
      </c>
      <c r="K285" s="10"/>
      <c r="L285" s="1"/>
      <c r="M285" s="1"/>
      <c r="N285" s="1"/>
    </row>
    <row r="286" ht="24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ht="24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ht="24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ht="30.0" customHeight="1">
      <c r="A289" s="1"/>
      <c r="B289" s="37" t="s">
        <v>194</v>
      </c>
      <c r="F289" s="1"/>
      <c r="G289" s="1"/>
      <c r="H289" s="1"/>
      <c r="I289" s="1"/>
      <c r="J289" s="1"/>
      <c r="K289" s="1"/>
      <c r="L289" s="1"/>
      <c r="M289" s="1"/>
      <c r="N289" s="1"/>
    </row>
    <row r="290" ht="24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ht="37.5" customHeight="1">
      <c r="A291" s="1"/>
      <c r="B291" s="4" t="s">
        <v>32</v>
      </c>
      <c r="C291" s="4" t="s">
        <v>4</v>
      </c>
      <c r="D291" s="4" t="s">
        <v>144</v>
      </c>
      <c r="E291" s="4" t="s">
        <v>139</v>
      </c>
      <c r="F291" s="1"/>
      <c r="G291" s="1"/>
      <c r="H291" s="1"/>
      <c r="I291" s="1"/>
      <c r="J291" s="1"/>
      <c r="K291" s="1"/>
      <c r="L291" s="1"/>
      <c r="M291" s="1"/>
      <c r="N291" s="1"/>
    </row>
    <row r="292" ht="27.75" customHeight="1">
      <c r="A292" s="1"/>
      <c r="B292" s="5"/>
      <c r="C292" s="7"/>
      <c r="D292" s="40"/>
      <c r="E292" s="68"/>
      <c r="F292" s="1"/>
      <c r="G292" s="1"/>
      <c r="H292" s="1"/>
      <c r="I292" s="1"/>
      <c r="J292" s="1"/>
      <c r="K292" s="1"/>
      <c r="L292" s="1"/>
      <c r="M292" s="1"/>
      <c r="N292" s="1"/>
    </row>
    <row r="293" ht="27.75" customHeight="1">
      <c r="A293" s="1"/>
      <c r="B293" s="10"/>
      <c r="C293" s="11"/>
      <c r="D293" s="43"/>
      <c r="E293" s="69"/>
      <c r="F293" s="1"/>
      <c r="G293" s="1"/>
      <c r="H293" s="1"/>
      <c r="I293" s="1"/>
      <c r="J293" s="1"/>
      <c r="K293" s="1"/>
      <c r="L293" s="1"/>
      <c r="M293" s="1"/>
      <c r="N293" s="1"/>
    </row>
    <row r="294" ht="27.75" customHeight="1">
      <c r="A294" s="1"/>
      <c r="B294" s="5"/>
      <c r="C294" s="7"/>
      <c r="D294" s="40"/>
      <c r="E294" s="68"/>
      <c r="F294" s="1"/>
      <c r="G294" s="1"/>
      <c r="H294" s="1"/>
      <c r="I294" s="1"/>
      <c r="J294" s="1"/>
      <c r="K294" s="1"/>
      <c r="L294" s="1"/>
      <c r="M294" s="1"/>
      <c r="N294" s="1"/>
    </row>
    <row r="295" ht="27.75" customHeight="1">
      <c r="A295" s="1"/>
      <c r="B295" s="10"/>
      <c r="C295" s="11"/>
      <c r="D295" s="43"/>
      <c r="E295" s="69"/>
      <c r="F295" s="1"/>
      <c r="G295" s="1"/>
      <c r="H295" s="1"/>
      <c r="I295" s="1"/>
      <c r="J295" s="1"/>
      <c r="K295" s="1"/>
      <c r="L295" s="1"/>
      <c r="M295" s="1"/>
      <c r="N295" s="1"/>
    </row>
    <row r="296" ht="27.75" customHeight="1">
      <c r="A296" s="1"/>
      <c r="B296" s="5"/>
      <c r="C296" s="7"/>
      <c r="D296" s="40"/>
      <c r="E296" s="68"/>
      <c r="F296" s="1"/>
      <c r="G296" s="1"/>
      <c r="H296" s="1"/>
      <c r="I296" s="1"/>
      <c r="J296" s="1"/>
      <c r="K296" s="1"/>
      <c r="L296" s="1"/>
      <c r="M296" s="1"/>
      <c r="N296" s="1"/>
    </row>
    <row r="297" ht="27.75" customHeight="1">
      <c r="A297" s="1"/>
      <c r="B297" s="10"/>
      <c r="C297" s="11"/>
      <c r="D297" s="43"/>
      <c r="E297" s="69"/>
      <c r="F297" s="1"/>
      <c r="G297" s="1"/>
      <c r="H297" s="1"/>
      <c r="I297" s="1"/>
      <c r="J297" s="1"/>
      <c r="K297" s="1"/>
      <c r="L297" s="1"/>
      <c r="M297" s="1"/>
      <c r="N297" s="1"/>
    </row>
    <row r="298" ht="27.75" customHeight="1">
      <c r="A298" s="1"/>
      <c r="B298" s="5"/>
      <c r="C298" s="7"/>
      <c r="D298" s="40"/>
      <c r="E298" s="68"/>
      <c r="F298" s="1"/>
      <c r="G298" s="1"/>
      <c r="H298" s="1"/>
      <c r="I298" s="1"/>
      <c r="J298" s="1"/>
      <c r="K298" s="1"/>
      <c r="L298" s="1"/>
      <c r="M298" s="1"/>
      <c r="N298" s="1"/>
    </row>
    <row r="299" ht="27.75" customHeight="1">
      <c r="A299" s="1"/>
      <c r="B299" s="10"/>
      <c r="C299" s="11"/>
      <c r="D299" s="43"/>
      <c r="E299" s="69"/>
      <c r="F299" s="1"/>
      <c r="G299" s="1"/>
      <c r="H299" s="1"/>
      <c r="I299" s="1"/>
      <c r="J299" s="1"/>
      <c r="K299" s="1"/>
      <c r="L299" s="1"/>
      <c r="M299" s="1"/>
      <c r="N299" s="1"/>
    </row>
    <row r="300" ht="27.75" customHeight="1">
      <c r="A300" s="1"/>
      <c r="B300" s="5"/>
      <c r="C300" s="7"/>
      <c r="D300" s="40"/>
      <c r="E300" s="68"/>
      <c r="F300" s="1"/>
      <c r="G300" s="1"/>
      <c r="H300" s="1"/>
      <c r="I300" s="1"/>
      <c r="J300" s="1"/>
      <c r="K300" s="1"/>
      <c r="L300" s="1"/>
      <c r="M300" s="1"/>
      <c r="N300" s="1"/>
    </row>
    <row r="301" ht="27.75" customHeight="1">
      <c r="A301" s="1"/>
      <c r="B301" s="10"/>
      <c r="C301" s="11"/>
      <c r="D301" s="43"/>
      <c r="E301" s="69"/>
      <c r="F301" s="1"/>
      <c r="G301" s="1"/>
      <c r="H301" s="1"/>
      <c r="I301" s="1"/>
      <c r="J301" s="1"/>
      <c r="K301" s="1"/>
      <c r="L301" s="1"/>
      <c r="M301" s="1"/>
      <c r="N301" s="1"/>
    </row>
    <row r="302" ht="27.75" customHeight="1">
      <c r="A302" s="1"/>
      <c r="B302" s="5"/>
      <c r="C302" s="7"/>
      <c r="D302" s="40"/>
      <c r="E302" s="68"/>
      <c r="F302" s="1"/>
      <c r="G302" s="1"/>
      <c r="H302" s="1"/>
      <c r="I302" s="1"/>
      <c r="J302" s="1"/>
      <c r="K302" s="1"/>
      <c r="L302" s="1"/>
      <c r="M302" s="1"/>
      <c r="N302" s="1"/>
    </row>
    <row r="303" ht="27.75" customHeight="1">
      <c r="A303" s="1"/>
      <c r="B303" s="10"/>
      <c r="C303" s="11"/>
      <c r="D303" s="43"/>
      <c r="E303" s="69"/>
      <c r="F303" s="1"/>
      <c r="G303" s="1"/>
      <c r="H303" s="1"/>
      <c r="I303" s="1"/>
      <c r="J303" s="1"/>
      <c r="K303" s="1"/>
      <c r="L303" s="1"/>
      <c r="M303" s="1"/>
      <c r="N303" s="1"/>
    </row>
    <row r="304" ht="27.75" customHeight="1">
      <c r="A304" s="1"/>
      <c r="B304" s="5"/>
      <c r="C304" s="7"/>
      <c r="D304" s="40"/>
      <c r="E304" s="68"/>
      <c r="F304" s="1"/>
      <c r="G304" s="1"/>
      <c r="H304" s="1"/>
      <c r="I304" s="1"/>
      <c r="J304" s="1"/>
      <c r="K304" s="1"/>
      <c r="L304" s="1"/>
      <c r="M304" s="1"/>
      <c r="N304" s="1"/>
    </row>
    <row r="305" ht="27.75" customHeight="1">
      <c r="A305" s="1"/>
      <c r="B305" s="10"/>
      <c r="C305" s="11"/>
      <c r="D305" s="43"/>
      <c r="E305" s="69"/>
      <c r="F305" s="1"/>
      <c r="G305" s="1"/>
      <c r="H305" s="1"/>
      <c r="I305" s="1"/>
      <c r="J305" s="1"/>
      <c r="K305" s="1"/>
      <c r="L305" s="1"/>
      <c r="M305" s="1"/>
      <c r="N305" s="1"/>
    </row>
    <row r="306" ht="27.75" customHeight="1">
      <c r="A306" s="1"/>
      <c r="B306" s="5"/>
      <c r="C306" s="7"/>
      <c r="D306" s="40"/>
      <c r="E306" s="68"/>
      <c r="F306" s="1"/>
      <c r="G306" s="1"/>
      <c r="H306" s="1"/>
      <c r="I306" s="1"/>
      <c r="J306" s="1"/>
      <c r="K306" s="1"/>
      <c r="L306" s="1"/>
      <c r="M306" s="1"/>
      <c r="N306" s="1"/>
    </row>
    <row r="307" ht="27.75" customHeight="1">
      <c r="A307" s="1"/>
      <c r="B307" s="10"/>
      <c r="C307" s="11"/>
      <c r="D307" s="43"/>
      <c r="E307" s="69"/>
      <c r="F307" s="1"/>
      <c r="G307" s="1"/>
      <c r="H307" s="1"/>
      <c r="I307" s="1"/>
      <c r="J307" s="1"/>
      <c r="K307" s="1"/>
      <c r="L307" s="1"/>
      <c r="M307" s="1"/>
      <c r="N307" s="1"/>
    </row>
    <row r="308" ht="27.75" customHeight="1">
      <c r="A308" s="1"/>
      <c r="B308" s="5"/>
      <c r="C308" s="7"/>
      <c r="D308" s="40"/>
      <c r="E308" s="68"/>
      <c r="F308" s="1"/>
      <c r="G308" s="1"/>
      <c r="H308" s="1"/>
      <c r="I308" s="1"/>
      <c r="J308" s="1"/>
      <c r="K308" s="1"/>
      <c r="L308" s="1"/>
      <c r="M308" s="1"/>
      <c r="N308" s="1"/>
    </row>
    <row r="309" ht="27.75" customHeight="1">
      <c r="A309" s="1"/>
      <c r="B309" s="10"/>
      <c r="C309" s="11"/>
      <c r="D309" s="43"/>
      <c r="E309" s="69"/>
      <c r="F309" s="1"/>
      <c r="G309" s="1"/>
      <c r="H309" s="1"/>
      <c r="I309" s="1"/>
      <c r="J309" s="1"/>
      <c r="K309" s="1"/>
      <c r="L309" s="1"/>
      <c r="M309" s="1"/>
      <c r="N309" s="1"/>
    </row>
    <row r="310" ht="27.75" customHeight="1">
      <c r="A310" s="1"/>
      <c r="B310" s="5"/>
      <c r="C310" s="7"/>
      <c r="D310" s="40"/>
      <c r="E310" s="68"/>
      <c r="F310" s="1"/>
      <c r="G310" s="1"/>
      <c r="H310" s="1"/>
      <c r="I310" s="1"/>
      <c r="J310" s="1"/>
      <c r="K310" s="1"/>
      <c r="L310" s="1"/>
      <c r="M310" s="1"/>
      <c r="N310" s="1"/>
    </row>
    <row r="311" ht="27.75" customHeight="1">
      <c r="A311" s="1"/>
      <c r="B311" s="10"/>
      <c r="C311" s="11"/>
      <c r="D311" s="43"/>
      <c r="E311" s="69"/>
      <c r="F311" s="1"/>
      <c r="G311" s="1"/>
      <c r="H311" s="1"/>
      <c r="I311" s="1"/>
      <c r="J311" s="1"/>
      <c r="K311" s="1"/>
      <c r="L311" s="1"/>
      <c r="M311" s="1"/>
      <c r="N311" s="1"/>
    </row>
    <row r="312" ht="27.75" customHeight="1">
      <c r="A312" s="1"/>
      <c r="B312" s="20"/>
      <c r="C312" s="21"/>
      <c r="D312" s="70"/>
      <c r="E312" s="71"/>
      <c r="F312" s="1"/>
      <c r="G312" s="1"/>
      <c r="H312" s="1"/>
      <c r="I312" s="1"/>
      <c r="J312" s="1"/>
      <c r="K312" s="1"/>
      <c r="L312" s="1"/>
      <c r="M312" s="1"/>
      <c r="N312" s="1"/>
    </row>
    <row r="313" ht="27.75" customHeight="1">
      <c r="A313" s="1"/>
      <c r="B313" s="16"/>
      <c r="C313" s="17"/>
      <c r="D313" s="67"/>
      <c r="E313" s="72"/>
      <c r="F313" s="1"/>
      <c r="G313" s="1"/>
      <c r="H313" s="1"/>
      <c r="I313" s="1"/>
      <c r="J313" s="1"/>
      <c r="K313" s="1"/>
      <c r="L313" s="1"/>
      <c r="M313" s="1"/>
      <c r="N313" s="1"/>
    </row>
    <row r="314" ht="27.75" customHeight="1">
      <c r="A314" s="1"/>
      <c r="B314" s="20"/>
      <c r="C314" s="21"/>
      <c r="D314" s="70"/>
      <c r="E314" s="71"/>
      <c r="F314" s="1"/>
      <c r="G314" s="1"/>
      <c r="H314" s="1"/>
      <c r="I314" s="1"/>
      <c r="J314" s="1"/>
      <c r="K314" s="1"/>
      <c r="L314" s="1"/>
      <c r="M314" s="1"/>
      <c r="N314" s="1"/>
    </row>
    <row r="315" ht="27.75" customHeight="1">
      <c r="A315" s="1"/>
      <c r="B315" s="16"/>
      <c r="C315" s="17"/>
      <c r="D315" s="67"/>
      <c r="E315" s="72"/>
      <c r="F315" s="1"/>
      <c r="G315" s="1"/>
      <c r="H315" s="1"/>
      <c r="I315" s="1"/>
      <c r="J315" s="1"/>
      <c r="K315" s="1"/>
      <c r="L315" s="1"/>
      <c r="M315" s="1"/>
      <c r="N315" s="1"/>
    </row>
    <row r="316" ht="27.75" customHeight="1">
      <c r="A316" s="1"/>
      <c r="B316" s="20"/>
      <c r="C316" s="21"/>
      <c r="D316" s="70"/>
      <c r="E316" s="71"/>
      <c r="F316" s="1"/>
      <c r="G316" s="1"/>
      <c r="H316" s="1"/>
      <c r="I316" s="1"/>
      <c r="J316" s="1"/>
      <c r="K316" s="1"/>
      <c r="L316" s="1"/>
      <c r="M316" s="1"/>
      <c r="N316" s="1"/>
    </row>
    <row r="317" ht="27.75" customHeight="1">
      <c r="A317" s="1"/>
      <c r="B317" s="16"/>
      <c r="C317" s="17"/>
      <c r="D317" s="67"/>
      <c r="E317" s="72"/>
      <c r="F317" s="1"/>
      <c r="G317" s="1"/>
      <c r="H317" s="1"/>
      <c r="I317" s="1"/>
      <c r="J317" s="1"/>
      <c r="K317" s="1"/>
      <c r="L317" s="1"/>
      <c r="M317" s="1"/>
      <c r="N317" s="1"/>
    </row>
    <row r="318" ht="27.75" customHeight="1">
      <c r="A318" s="1"/>
      <c r="B318" s="20"/>
      <c r="C318" s="21"/>
      <c r="D318" s="70"/>
      <c r="E318" s="71"/>
      <c r="F318" s="1"/>
      <c r="G318" s="1"/>
      <c r="H318" s="1"/>
      <c r="I318" s="1"/>
      <c r="J318" s="1"/>
      <c r="K318" s="1"/>
      <c r="L318" s="1"/>
      <c r="M318" s="1"/>
      <c r="N318" s="1"/>
    </row>
    <row r="319" ht="27.75" customHeight="1">
      <c r="A319" s="1"/>
      <c r="B319" s="16"/>
      <c r="C319" s="17"/>
      <c r="D319" s="67"/>
      <c r="E319" s="72"/>
      <c r="F319" s="1"/>
      <c r="G319" s="1"/>
      <c r="H319" s="1"/>
      <c r="I319" s="1"/>
      <c r="J319" s="1"/>
      <c r="K319" s="1"/>
      <c r="L319" s="1"/>
      <c r="M319" s="1"/>
      <c r="N319" s="1"/>
    </row>
    <row r="320" ht="27.75" customHeight="1">
      <c r="A320" s="1"/>
      <c r="B320" s="20"/>
      <c r="C320" s="21"/>
      <c r="D320" s="70"/>
      <c r="E320" s="71"/>
      <c r="F320" s="1"/>
      <c r="G320" s="1"/>
      <c r="H320" s="1"/>
      <c r="I320" s="1"/>
      <c r="J320" s="1"/>
      <c r="K320" s="1"/>
      <c r="L320" s="1"/>
      <c r="M320" s="1"/>
      <c r="N320" s="1"/>
    </row>
    <row r="321" ht="27.75" customHeight="1">
      <c r="A321" s="1"/>
      <c r="B321" s="16"/>
      <c r="C321" s="17"/>
      <c r="D321" s="67"/>
      <c r="E321" s="72"/>
      <c r="F321" s="1"/>
      <c r="G321" s="1"/>
      <c r="H321" s="1"/>
      <c r="I321" s="1"/>
      <c r="J321" s="1"/>
      <c r="K321" s="1"/>
      <c r="L321" s="1"/>
      <c r="M321" s="1"/>
      <c r="N321" s="1"/>
    </row>
    <row r="322" ht="27.75" customHeight="1">
      <c r="A322" s="1"/>
      <c r="B322" s="16"/>
      <c r="C322" s="17"/>
      <c r="D322" s="67"/>
      <c r="E322" s="72"/>
      <c r="F322" s="1"/>
      <c r="G322" s="1"/>
      <c r="H322" s="1"/>
      <c r="I322" s="1"/>
      <c r="J322" s="1"/>
      <c r="K322" s="1"/>
      <c r="L322" s="1"/>
      <c r="M322" s="1"/>
      <c r="N322" s="1"/>
    </row>
    <row r="323" ht="27.75" customHeight="1">
      <c r="A323" s="1"/>
      <c r="B323" s="16"/>
      <c r="C323" s="17"/>
      <c r="D323" s="67"/>
      <c r="E323" s="72"/>
      <c r="F323" s="1"/>
      <c r="G323" s="1"/>
      <c r="H323" s="1"/>
      <c r="I323" s="1"/>
      <c r="J323" s="1"/>
      <c r="K323" s="1"/>
      <c r="L323" s="1"/>
      <c r="M323" s="1"/>
      <c r="N323" s="1"/>
    </row>
    <row r="324" ht="27.75" customHeight="1">
      <c r="A324" s="1"/>
      <c r="B324" s="16"/>
      <c r="C324" s="17"/>
      <c r="D324" s="67"/>
      <c r="E324" s="72"/>
      <c r="F324" s="1"/>
      <c r="G324" s="1"/>
      <c r="H324" s="1"/>
      <c r="I324" s="1"/>
      <c r="J324" s="1"/>
      <c r="K324" s="1"/>
      <c r="L324" s="1"/>
      <c r="M324" s="1"/>
      <c r="N324" s="1"/>
    </row>
    <row r="325" ht="27.75" customHeight="1">
      <c r="A325" s="1"/>
      <c r="B325" s="16"/>
      <c r="C325" s="17"/>
      <c r="D325" s="67"/>
      <c r="E325" s="72"/>
      <c r="F325" s="1"/>
      <c r="G325" s="1"/>
      <c r="H325" s="1"/>
      <c r="I325" s="1"/>
      <c r="J325" s="1"/>
      <c r="K325" s="1"/>
      <c r="L325" s="1"/>
      <c r="M325" s="1"/>
      <c r="N325" s="1"/>
    </row>
    <row r="326" ht="27.75" customHeight="1">
      <c r="A326" s="1"/>
      <c r="B326" s="16"/>
      <c r="C326" s="17"/>
      <c r="D326" s="67"/>
      <c r="E326" s="72"/>
      <c r="F326" s="1"/>
      <c r="G326" s="1"/>
      <c r="H326" s="1"/>
      <c r="I326" s="1"/>
      <c r="J326" s="1"/>
      <c r="K326" s="1"/>
      <c r="L326" s="1"/>
      <c r="M326" s="1"/>
      <c r="N326" s="1"/>
    </row>
    <row r="327" ht="27.75" customHeight="1">
      <c r="A327" s="1"/>
      <c r="B327" s="16"/>
      <c r="C327" s="17"/>
      <c r="D327" s="67"/>
      <c r="E327" s="72"/>
      <c r="F327" s="1"/>
      <c r="G327" s="1"/>
      <c r="H327" s="1"/>
      <c r="I327" s="1"/>
      <c r="J327" s="1"/>
      <c r="K327" s="1"/>
      <c r="L327" s="1"/>
      <c r="M327" s="1"/>
      <c r="N327" s="1"/>
    </row>
    <row r="328" ht="27.75" customHeight="1">
      <c r="A328" s="1"/>
      <c r="B328" s="16"/>
      <c r="C328" s="17"/>
      <c r="D328" s="67"/>
      <c r="E328" s="72"/>
      <c r="F328" s="1"/>
      <c r="G328" s="1"/>
      <c r="H328" s="1"/>
      <c r="I328" s="1"/>
      <c r="J328" s="1"/>
      <c r="K328" s="1"/>
      <c r="L328" s="1"/>
      <c r="M328" s="1"/>
      <c r="N328" s="1"/>
    </row>
    <row r="329" ht="27.75" customHeight="1">
      <c r="A329" s="1"/>
      <c r="B329" s="16"/>
      <c r="C329" s="17"/>
      <c r="D329" s="67"/>
      <c r="E329" s="72"/>
      <c r="F329" s="1"/>
      <c r="G329" s="1"/>
      <c r="H329" s="1"/>
      <c r="I329" s="1"/>
      <c r="J329" s="1"/>
      <c r="K329" s="1"/>
      <c r="L329" s="1"/>
      <c r="M329" s="1"/>
      <c r="N329" s="1"/>
    </row>
    <row r="330" ht="27.75" customHeight="1">
      <c r="A330" s="1"/>
      <c r="B330" s="16"/>
      <c r="C330" s="17"/>
      <c r="D330" s="67"/>
      <c r="E330" s="72"/>
      <c r="F330" s="1"/>
      <c r="G330" s="1"/>
      <c r="H330" s="1"/>
      <c r="I330" s="1"/>
      <c r="J330" s="1"/>
      <c r="K330" s="1"/>
      <c r="L330" s="1"/>
      <c r="M330" s="1"/>
      <c r="N330" s="1"/>
    </row>
    <row r="331" ht="27.75" customHeight="1">
      <c r="A331" s="1"/>
      <c r="B331" s="16"/>
      <c r="C331" s="17"/>
      <c r="D331" s="67"/>
      <c r="E331" s="72"/>
      <c r="F331" s="1"/>
      <c r="G331" s="1"/>
      <c r="H331" s="1"/>
      <c r="I331" s="1"/>
      <c r="J331" s="1"/>
      <c r="K331" s="1"/>
      <c r="L331" s="1"/>
      <c r="M331" s="1"/>
      <c r="N331" s="1"/>
    </row>
    <row r="332" ht="27.75" customHeight="1">
      <c r="A332" s="1"/>
      <c r="B332" s="16"/>
      <c r="C332" s="17"/>
      <c r="D332" s="67"/>
      <c r="E332" s="72"/>
      <c r="F332" s="1"/>
      <c r="G332" s="1"/>
      <c r="H332" s="1"/>
      <c r="I332" s="1"/>
      <c r="J332" s="1"/>
      <c r="K332" s="1"/>
      <c r="L332" s="1"/>
      <c r="M332" s="1"/>
      <c r="N332" s="1"/>
    </row>
    <row r="333" ht="27.75" customHeight="1">
      <c r="A333" s="1"/>
      <c r="B333" s="16"/>
      <c r="C333" s="17"/>
      <c r="D333" s="67"/>
      <c r="E333" s="72"/>
      <c r="F333" s="1"/>
      <c r="G333" s="1"/>
      <c r="H333" s="1"/>
      <c r="I333" s="1"/>
      <c r="J333" s="1"/>
      <c r="K333" s="1"/>
      <c r="L333" s="1"/>
      <c r="M333" s="1"/>
      <c r="N333" s="1"/>
    </row>
    <row r="334" ht="27.75" customHeight="1">
      <c r="A334" s="1"/>
      <c r="B334" s="16"/>
      <c r="C334" s="17"/>
      <c r="D334" s="67"/>
      <c r="E334" s="72"/>
      <c r="F334" s="1"/>
      <c r="G334" s="1"/>
      <c r="H334" s="1"/>
      <c r="I334" s="1"/>
      <c r="J334" s="1"/>
      <c r="K334" s="1"/>
      <c r="L334" s="1"/>
      <c r="M334" s="1"/>
      <c r="N334" s="1"/>
    </row>
    <row r="335" ht="27.75" customHeight="1">
      <c r="A335" s="1"/>
      <c r="B335" s="16"/>
      <c r="C335" s="17"/>
      <c r="D335" s="67"/>
      <c r="E335" s="72"/>
      <c r="F335" s="1"/>
      <c r="G335" s="1"/>
      <c r="H335" s="1"/>
      <c r="I335" s="1"/>
      <c r="J335" s="1"/>
      <c r="K335" s="1"/>
      <c r="L335" s="1"/>
      <c r="M335" s="1"/>
      <c r="N335" s="1"/>
    </row>
    <row r="336" ht="27.75" customHeight="1">
      <c r="A336" s="1"/>
      <c r="B336" s="16"/>
      <c r="C336" s="17"/>
      <c r="D336" s="67"/>
      <c r="E336" s="72"/>
      <c r="F336" s="1"/>
      <c r="G336" s="1"/>
      <c r="H336" s="1"/>
      <c r="I336" s="1"/>
      <c r="J336" s="1"/>
      <c r="K336" s="1"/>
      <c r="L336" s="1"/>
      <c r="M336" s="1"/>
      <c r="N336" s="1"/>
    </row>
    <row r="337" ht="27.75" customHeight="1">
      <c r="A337" s="1"/>
      <c r="B337" s="16"/>
      <c r="C337" s="17"/>
      <c r="D337" s="67"/>
      <c r="E337" s="72"/>
      <c r="F337" s="1"/>
      <c r="G337" s="1"/>
      <c r="H337" s="1"/>
      <c r="I337" s="1"/>
      <c r="J337" s="1"/>
      <c r="K337" s="1"/>
      <c r="L337" s="1"/>
      <c r="M337" s="1"/>
      <c r="N337" s="1"/>
    </row>
    <row r="338" ht="27.75" customHeight="1">
      <c r="A338" s="1"/>
      <c r="B338" s="16"/>
      <c r="C338" s="17"/>
      <c r="D338" s="67"/>
      <c r="E338" s="72"/>
      <c r="F338" s="1"/>
      <c r="G338" s="1"/>
      <c r="H338" s="1"/>
      <c r="I338" s="1"/>
      <c r="J338" s="1"/>
      <c r="K338" s="1"/>
      <c r="L338" s="1"/>
      <c r="M338" s="1"/>
      <c r="N338" s="1"/>
    </row>
    <row r="339" ht="27.75" customHeight="1">
      <c r="A339" s="1"/>
      <c r="B339" s="16"/>
      <c r="C339" s="17"/>
      <c r="D339" s="67"/>
      <c r="E339" s="72"/>
      <c r="F339" s="1"/>
      <c r="G339" s="1"/>
      <c r="H339" s="1"/>
      <c r="I339" s="1"/>
      <c r="J339" s="1"/>
      <c r="K339" s="1"/>
      <c r="L339" s="1"/>
      <c r="M339" s="1"/>
      <c r="N339" s="1"/>
    </row>
    <row r="340" ht="27.75" customHeight="1">
      <c r="A340" s="1"/>
      <c r="B340" s="16"/>
      <c r="C340" s="17"/>
      <c r="D340" s="67"/>
      <c r="E340" s="72"/>
      <c r="F340" s="1"/>
      <c r="G340" s="1"/>
      <c r="H340" s="1"/>
      <c r="I340" s="1"/>
      <c r="J340" s="1"/>
      <c r="K340" s="1"/>
      <c r="L340" s="1"/>
      <c r="M340" s="1"/>
      <c r="N340" s="1"/>
    </row>
    <row r="341" ht="27.75" customHeight="1">
      <c r="A341" s="1"/>
      <c r="B341" s="16"/>
      <c r="C341" s="17"/>
      <c r="D341" s="67"/>
      <c r="E341" s="72"/>
      <c r="F341" s="1"/>
      <c r="G341" s="1"/>
      <c r="H341" s="1"/>
      <c r="I341" s="1"/>
      <c r="J341" s="1"/>
      <c r="K341" s="1"/>
      <c r="L341" s="1"/>
      <c r="M341" s="1"/>
      <c r="N341" s="1"/>
    </row>
    <row r="342" ht="27.75" customHeight="1">
      <c r="A342" s="1"/>
      <c r="B342" s="16"/>
      <c r="C342" s="17"/>
      <c r="D342" s="67"/>
      <c r="E342" s="72"/>
      <c r="F342" s="1"/>
      <c r="G342" s="1"/>
      <c r="H342" s="1"/>
      <c r="I342" s="1"/>
      <c r="J342" s="1"/>
      <c r="K342" s="1"/>
      <c r="L342" s="1"/>
      <c r="M342" s="1"/>
      <c r="N342" s="1"/>
    </row>
    <row r="343" ht="27.75" customHeight="1">
      <c r="A343" s="1"/>
      <c r="B343" s="16"/>
      <c r="C343" s="17"/>
      <c r="D343" s="67"/>
      <c r="E343" s="72"/>
      <c r="F343" s="1"/>
      <c r="G343" s="1"/>
      <c r="H343" s="1"/>
      <c r="I343" s="1"/>
      <c r="J343" s="1"/>
      <c r="K343" s="1"/>
      <c r="L343" s="1"/>
      <c r="M343" s="1"/>
      <c r="N343" s="1"/>
    </row>
    <row r="344" ht="27.75" customHeight="1">
      <c r="A344" s="1"/>
      <c r="B344" s="16"/>
      <c r="C344" s="17"/>
      <c r="D344" s="67"/>
      <c r="E344" s="72"/>
      <c r="F344" s="1"/>
      <c r="G344" s="1"/>
      <c r="H344" s="1"/>
      <c r="I344" s="1"/>
      <c r="J344" s="1"/>
      <c r="K344" s="1"/>
      <c r="L344" s="1"/>
      <c r="M344" s="1"/>
      <c r="N344" s="1"/>
    </row>
    <row r="345" ht="27.75" customHeight="1">
      <c r="A345" s="1"/>
      <c r="B345" s="16"/>
      <c r="C345" s="17"/>
      <c r="D345" s="67"/>
      <c r="E345" s="72"/>
      <c r="F345" s="1"/>
      <c r="G345" s="1"/>
      <c r="H345" s="1"/>
      <c r="I345" s="1"/>
      <c r="J345" s="1"/>
      <c r="K345" s="1"/>
      <c r="L345" s="1"/>
      <c r="M345" s="1"/>
      <c r="N345" s="1"/>
    </row>
    <row r="346" ht="27.75" customHeight="1">
      <c r="A346" s="1"/>
      <c r="B346" s="16"/>
      <c r="C346" s="17"/>
      <c r="D346" s="67"/>
      <c r="E346" s="72"/>
      <c r="F346" s="1"/>
      <c r="G346" s="1"/>
      <c r="H346" s="1"/>
      <c r="I346" s="1"/>
      <c r="J346" s="1"/>
      <c r="K346" s="1"/>
      <c r="L346" s="1"/>
      <c r="M346" s="1"/>
      <c r="N346" s="1"/>
    </row>
    <row r="347" ht="27.75" customHeight="1">
      <c r="A347" s="1"/>
      <c r="B347" s="16"/>
      <c r="C347" s="17"/>
      <c r="D347" s="67"/>
      <c r="E347" s="72"/>
      <c r="F347" s="1"/>
      <c r="G347" s="1"/>
      <c r="H347" s="1"/>
      <c r="I347" s="1"/>
      <c r="J347" s="1"/>
      <c r="K347" s="1"/>
      <c r="L347" s="1"/>
      <c r="M347" s="1"/>
      <c r="N347" s="1"/>
    </row>
    <row r="348" ht="27.75" customHeight="1">
      <c r="A348" s="1"/>
      <c r="B348" s="16"/>
      <c r="C348" s="17"/>
      <c r="D348" s="67"/>
      <c r="E348" s="72"/>
      <c r="F348" s="1"/>
      <c r="G348" s="1"/>
      <c r="H348" s="1"/>
      <c r="I348" s="1"/>
      <c r="J348" s="1"/>
      <c r="K348" s="1"/>
      <c r="L348" s="1"/>
      <c r="M348" s="1"/>
      <c r="N348" s="1"/>
    </row>
    <row r="349" ht="27.75" customHeight="1">
      <c r="A349" s="1"/>
      <c r="B349" s="16"/>
      <c r="C349" s="17"/>
      <c r="D349" s="67"/>
      <c r="E349" s="72"/>
      <c r="F349" s="1"/>
      <c r="G349" s="1"/>
      <c r="H349" s="1"/>
      <c r="I349" s="1"/>
      <c r="J349" s="1"/>
      <c r="K349" s="1"/>
      <c r="L349" s="1"/>
      <c r="M349" s="1"/>
      <c r="N349" s="1"/>
    </row>
    <row r="350" ht="27.75" customHeight="1">
      <c r="A350" s="1"/>
      <c r="B350" s="16"/>
      <c r="C350" s="17"/>
      <c r="D350" s="67"/>
      <c r="E350" s="72"/>
      <c r="F350" s="1"/>
      <c r="G350" s="1"/>
      <c r="H350" s="1"/>
      <c r="I350" s="1"/>
      <c r="J350" s="1"/>
      <c r="K350" s="1"/>
      <c r="L350" s="1"/>
      <c r="M350" s="1"/>
      <c r="N350" s="1"/>
    </row>
    <row r="351" ht="27.75" customHeight="1">
      <c r="A351" s="1"/>
      <c r="B351" s="16"/>
      <c r="C351" s="17"/>
      <c r="D351" s="67"/>
      <c r="E351" s="72"/>
      <c r="F351" s="1"/>
      <c r="G351" s="1"/>
      <c r="H351" s="1"/>
      <c r="I351" s="1"/>
      <c r="J351" s="1"/>
      <c r="K351" s="1"/>
      <c r="L351" s="1"/>
      <c r="M351" s="1"/>
      <c r="N351" s="1"/>
    </row>
    <row r="352" ht="27.75" customHeight="1">
      <c r="A352" s="1"/>
      <c r="B352" s="16"/>
      <c r="C352" s="17"/>
      <c r="D352" s="67"/>
      <c r="E352" s="72"/>
      <c r="F352" s="1"/>
      <c r="G352" s="1"/>
      <c r="H352" s="1"/>
      <c r="I352" s="1"/>
      <c r="J352" s="1"/>
      <c r="K352" s="1"/>
      <c r="L352" s="1"/>
      <c r="M352" s="1"/>
      <c r="N352" s="1"/>
    </row>
    <row r="353" ht="27.75" customHeight="1">
      <c r="A353" s="1"/>
      <c r="B353" s="16"/>
      <c r="C353" s="17"/>
      <c r="D353" s="67"/>
      <c r="E353" s="72"/>
      <c r="F353" s="1"/>
      <c r="G353" s="1"/>
      <c r="H353" s="1"/>
      <c r="I353" s="1"/>
      <c r="J353" s="1"/>
      <c r="K353" s="1"/>
      <c r="L353" s="1"/>
      <c r="M353" s="1"/>
      <c r="N353" s="1"/>
    </row>
    <row r="354" ht="27.75" customHeight="1">
      <c r="A354" s="1"/>
      <c r="B354" s="16"/>
      <c r="C354" s="17"/>
      <c r="D354" s="67"/>
      <c r="E354" s="72"/>
      <c r="F354" s="1"/>
      <c r="G354" s="1"/>
      <c r="H354" s="1"/>
      <c r="I354" s="1"/>
      <c r="J354" s="1"/>
      <c r="K354" s="1"/>
      <c r="L354" s="1"/>
      <c r="M354" s="1"/>
      <c r="N354" s="1"/>
    </row>
    <row r="355" ht="27.75" customHeight="1">
      <c r="A355" s="1"/>
      <c r="B355" s="16"/>
      <c r="C355" s="17"/>
      <c r="D355" s="67"/>
      <c r="E355" s="72"/>
      <c r="F355" s="1"/>
      <c r="G355" s="1"/>
      <c r="H355" s="1"/>
      <c r="I355" s="1"/>
      <c r="J355" s="1"/>
      <c r="K355" s="1"/>
      <c r="L355" s="1"/>
      <c r="M355" s="1"/>
      <c r="N355" s="1"/>
    </row>
    <row r="356" ht="27.75" customHeight="1">
      <c r="A356" s="1"/>
      <c r="B356" s="16"/>
      <c r="C356" s="17"/>
      <c r="D356" s="67"/>
      <c r="E356" s="72"/>
      <c r="F356" s="1"/>
      <c r="G356" s="1"/>
      <c r="H356" s="1"/>
      <c r="I356" s="1"/>
      <c r="J356" s="1"/>
      <c r="K356" s="1"/>
      <c r="L356" s="1"/>
      <c r="M356" s="1"/>
      <c r="N356" s="1"/>
    </row>
    <row r="357" ht="27.75" customHeight="1">
      <c r="A357" s="1"/>
      <c r="B357" s="16"/>
      <c r="C357" s="17"/>
      <c r="D357" s="67"/>
      <c r="E357" s="72"/>
      <c r="F357" s="1"/>
      <c r="G357" s="1"/>
      <c r="H357" s="1"/>
      <c r="I357" s="1"/>
      <c r="J357" s="1"/>
      <c r="K357" s="1"/>
      <c r="L357" s="1"/>
      <c r="M357" s="1"/>
      <c r="N357" s="1"/>
    </row>
    <row r="358" ht="27.75" customHeight="1">
      <c r="A358" s="1"/>
      <c r="B358" s="16"/>
      <c r="C358" s="17"/>
      <c r="D358" s="67"/>
      <c r="E358" s="72"/>
      <c r="F358" s="1"/>
      <c r="G358" s="1"/>
      <c r="H358" s="1"/>
      <c r="I358" s="1"/>
      <c r="J358" s="1"/>
      <c r="K358" s="1"/>
      <c r="L358" s="1"/>
      <c r="M358" s="1"/>
      <c r="N358" s="1"/>
    </row>
    <row r="359" ht="27.75" customHeight="1">
      <c r="A359" s="1"/>
      <c r="B359" s="16"/>
      <c r="C359" s="17"/>
      <c r="D359" s="67"/>
      <c r="E359" s="72"/>
      <c r="F359" s="1"/>
      <c r="G359" s="1"/>
      <c r="H359" s="1"/>
      <c r="I359" s="1"/>
      <c r="J359" s="1"/>
      <c r="K359" s="1"/>
      <c r="L359" s="1"/>
      <c r="M359" s="1"/>
      <c r="N359" s="1"/>
    </row>
    <row r="360" ht="27.75" customHeight="1">
      <c r="A360" s="1"/>
      <c r="B360" s="16"/>
      <c r="C360" s="17"/>
      <c r="D360" s="67"/>
      <c r="E360" s="72"/>
      <c r="F360" s="1"/>
      <c r="G360" s="1"/>
      <c r="H360" s="1"/>
      <c r="I360" s="1"/>
      <c r="J360" s="1"/>
      <c r="K360" s="1"/>
      <c r="L360" s="1"/>
      <c r="M360" s="1"/>
      <c r="N360" s="1"/>
    </row>
    <row r="361" ht="27.75" customHeight="1">
      <c r="A361" s="1"/>
      <c r="B361" s="16"/>
      <c r="C361" s="17"/>
      <c r="D361" s="67"/>
      <c r="E361" s="72"/>
      <c r="F361" s="1"/>
      <c r="G361" s="1"/>
      <c r="H361" s="1"/>
      <c r="I361" s="1"/>
      <c r="J361" s="1"/>
      <c r="K361" s="1"/>
      <c r="L361" s="1"/>
      <c r="M361" s="1"/>
      <c r="N361" s="1"/>
    </row>
    <row r="362" ht="27.75" customHeight="1">
      <c r="A362" s="1"/>
      <c r="B362" s="16"/>
      <c r="C362" s="17"/>
      <c r="D362" s="67"/>
      <c r="E362" s="72"/>
      <c r="F362" s="1"/>
      <c r="G362" s="1"/>
      <c r="H362" s="1"/>
      <c r="I362" s="1"/>
      <c r="J362" s="1"/>
      <c r="K362" s="1"/>
      <c r="L362" s="1"/>
      <c r="M362" s="1"/>
      <c r="N362" s="1"/>
    </row>
    <row r="363" ht="27.75" customHeight="1">
      <c r="A363" s="1"/>
      <c r="B363" s="16"/>
      <c r="C363" s="17"/>
      <c r="D363" s="67"/>
      <c r="E363" s="72"/>
      <c r="F363" s="1"/>
      <c r="G363" s="1"/>
      <c r="H363" s="1"/>
      <c r="I363" s="1"/>
      <c r="J363" s="1"/>
      <c r="K363" s="1"/>
      <c r="L363" s="1"/>
      <c r="M363" s="1"/>
      <c r="N363" s="1"/>
    </row>
    <row r="364" ht="27.75" customHeight="1">
      <c r="A364" s="1"/>
      <c r="B364" s="16"/>
      <c r="C364" s="17"/>
      <c r="D364" s="67"/>
      <c r="E364" s="72"/>
      <c r="F364" s="1"/>
      <c r="G364" s="1"/>
      <c r="H364" s="1"/>
      <c r="I364" s="1"/>
      <c r="J364" s="1"/>
      <c r="K364" s="1"/>
      <c r="L364" s="1"/>
      <c r="M364" s="1"/>
      <c r="N364" s="1"/>
    </row>
    <row r="365" ht="27.75" customHeight="1">
      <c r="A365" s="1"/>
      <c r="B365" s="16"/>
      <c r="C365" s="17"/>
      <c r="D365" s="67"/>
      <c r="E365" s="72"/>
      <c r="F365" s="1"/>
      <c r="G365" s="1"/>
      <c r="H365" s="1"/>
      <c r="I365" s="1"/>
      <c r="J365" s="1"/>
      <c r="K365" s="1"/>
      <c r="L365" s="1"/>
      <c r="M365" s="1"/>
      <c r="N365" s="1"/>
    </row>
    <row r="366" ht="27.75" customHeight="1">
      <c r="A366" s="1"/>
      <c r="B366" s="16"/>
      <c r="C366" s="17"/>
      <c r="D366" s="67"/>
      <c r="E366" s="72"/>
      <c r="F366" s="1"/>
      <c r="G366" s="1"/>
      <c r="H366" s="1"/>
      <c r="I366" s="1"/>
      <c r="J366" s="1"/>
      <c r="K366" s="1"/>
      <c r="L366" s="1"/>
      <c r="M366" s="1"/>
      <c r="N366" s="1"/>
    </row>
    <row r="367" ht="27.75" customHeight="1">
      <c r="A367" s="1"/>
      <c r="B367" s="16"/>
      <c r="C367" s="17"/>
      <c r="D367" s="67"/>
      <c r="E367" s="72"/>
      <c r="F367" s="1"/>
      <c r="G367" s="1"/>
      <c r="H367" s="1"/>
      <c r="I367" s="1"/>
      <c r="J367" s="1"/>
      <c r="K367" s="1"/>
      <c r="L367" s="1"/>
      <c r="M367" s="1"/>
      <c r="N367" s="1"/>
    </row>
    <row r="368" ht="27.75" customHeight="1">
      <c r="A368" s="1"/>
      <c r="B368" s="16"/>
      <c r="C368" s="17"/>
      <c r="D368" s="67"/>
      <c r="E368" s="72"/>
      <c r="F368" s="1"/>
      <c r="G368" s="1"/>
      <c r="H368" s="1"/>
      <c r="I368" s="1"/>
      <c r="J368" s="1"/>
      <c r="K368" s="1"/>
      <c r="L368" s="1"/>
      <c r="M368" s="1"/>
      <c r="N368" s="1"/>
    </row>
    <row r="369" ht="27.75" customHeight="1">
      <c r="A369" s="1"/>
      <c r="B369" s="16"/>
      <c r="C369" s="17"/>
      <c r="D369" s="67"/>
      <c r="E369" s="72"/>
      <c r="F369" s="1"/>
      <c r="G369" s="1"/>
      <c r="H369" s="1"/>
      <c r="I369" s="1"/>
      <c r="J369" s="1"/>
      <c r="K369" s="1"/>
      <c r="L369" s="1"/>
      <c r="M369" s="1"/>
      <c r="N369" s="1"/>
    </row>
    <row r="370" ht="27.75" customHeight="1">
      <c r="A370" s="1"/>
      <c r="B370" s="16"/>
      <c r="C370" s="17"/>
      <c r="D370" s="67"/>
      <c r="E370" s="72"/>
      <c r="F370" s="1"/>
      <c r="G370" s="1"/>
      <c r="H370" s="1"/>
      <c r="I370" s="1"/>
      <c r="J370" s="1"/>
      <c r="K370" s="1"/>
      <c r="L370" s="1"/>
      <c r="M370" s="1"/>
      <c r="N370" s="1"/>
    </row>
    <row r="371" ht="27.75" customHeight="1">
      <c r="A371" s="1"/>
      <c r="B371" s="16"/>
      <c r="C371" s="17"/>
      <c r="D371" s="67"/>
      <c r="E371" s="72"/>
      <c r="F371" s="1"/>
      <c r="G371" s="1"/>
      <c r="H371" s="1"/>
      <c r="I371" s="1"/>
      <c r="J371" s="1"/>
      <c r="K371" s="1"/>
      <c r="L371" s="1"/>
      <c r="M371" s="1"/>
      <c r="N371" s="1"/>
    </row>
    <row r="372" ht="27.75" customHeight="1">
      <c r="A372" s="1"/>
      <c r="B372" s="16"/>
      <c r="C372" s="17"/>
      <c r="D372" s="67"/>
      <c r="E372" s="72"/>
      <c r="F372" s="1"/>
      <c r="G372" s="1"/>
      <c r="H372" s="1"/>
      <c r="I372" s="1"/>
      <c r="J372" s="1"/>
      <c r="K372" s="1"/>
      <c r="L372" s="1"/>
      <c r="M372" s="1"/>
      <c r="N372" s="1"/>
    </row>
    <row r="373" ht="27.75" customHeight="1">
      <c r="A373" s="1"/>
      <c r="B373" s="16"/>
      <c r="C373" s="17"/>
      <c r="D373" s="67"/>
      <c r="E373" s="72"/>
      <c r="F373" s="1"/>
      <c r="G373" s="1"/>
      <c r="H373" s="1"/>
      <c r="I373" s="1"/>
      <c r="J373" s="1"/>
      <c r="K373" s="1"/>
      <c r="L373" s="1"/>
      <c r="M373" s="1"/>
      <c r="N373" s="1"/>
    </row>
    <row r="374" ht="27.75" customHeight="1">
      <c r="A374" s="1"/>
      <c r="B374" s="16"/>
      <c r="C374" s="17"/>
      <c r="D374" s="67"/>
      <c r="E374" s="72"/>
      <c r="F374" s="1"/>
      <c r="G374" s="1"/>
      <c r="H374" s="1"/>
      <c r="I374" s="1"/>
      <c r="J374" s="1"/>
      <c r="K374" s="1"/>
      <c r="L374" s="1"/>
      <c r="M374" s="1"/>
      <c r="N374" s="1"/>
    </row>
    <row r="375" ht="27.75" customHeight="1">
      <c r="A375" s="1"/>
      <c r="B375" s="16"/>
      <c r="C375" s="17"/>
      <c r="D375" s="67"/>
      <c r="E375" s="72"/>
      <c r="F375" s="1"/>
      <c r="G375" s="1"/>
      <c r="H375" s="1"/>
      <c r="I375" s="1"/>
      <c r="J375" s="1"/>
      <c r="K375" s="1"/>
      <c r="L375" s="1"/>
      <c r="M375" s="1"/>
      <c r="N375" s="1"/>
    </row>
    <row r="376" ht="27.75" customHeight="1">
      <c r="A376" s="1"/>
      <c r="B376" s="16"/>
      <c r="C376" s="17"/>
      <c r="D376" s="67"/>
      <c r="E376" s="72"/>
      <c r="F376" s="1"/>
      <c r="G376" s="1"/>
      <c r="H376" s="1"/>
      <c r="I376" s="1"/>
      <c r="J376" s="1"/>
      <c r="K376" s="1"/>
      <c r="L376" s="1"/>
      <c r="M376" s="1"/>
      <c r="N376" s="1"/>
    </row>
    <row r="377" ht="27.75" customHeight="1">
      <c r="A377" s="1"/>
      <c r="B377" s="16"/>
      <c r="C377" s="17"/>
      <c r="D377" s="67"/>
      <c r="E377" s="72"/>
      <c r="F377" s="1"/>
      <c r="G377" s="1"/>
      <c r="H377" s="1"/>
      <c r="I377" s="1"/>
      <c r="J377" s="1"/>
      <c r="K377" s="1"/>
      <c r="L377" s="1"/>
      <c r="M377" s="1"/>
      <c r="N377" s="1"/>
    </row>
    <row r="378" ht="27.75" customHeight="1">
      <c r="A378" s="1"/>
      <c r="B378" s="16"/>
      <c r="C378" s="17"/>
      <c r="D378" s="67"/>
      <c r="E378" s="72"/>
      <c r="F378" s="1"/>
      <c r="G378" s="1"/>
      <c r="H378" s="1"/>
      <c r="I378" s="1"/>
      <c r="J378" s="1"/>
      <c r="K378" s="1"/>
      <c r="L378" s="1"/>
      <c r="M378" s="1"/>
      <c r="N378" s="1"/>
    </row>
    <row r="379" ht="27.75" customHeight="1">
      <c r="A379" s="1"/>
      <c r="B379" s="16"/>
      <c r="C379" s="17"/>
      <c r="D379" s="67"/>
      <c r="E379" s="72"/>
      <c r="F379" s="1"/>
      <c r="G379" s="1"/>
      <c r="H379" s="1"/>
      <c r="I379" s="1"/>
      <c r="J379" s="1"/>
      <c r="K379" s="1"/>
      <c r="L379" s="1"/>
      <c r="M379" s="1"/>
      <c r="N379" s="1"/>
    </row>
    <row r="380" ht="27.75" customHeight="1">
      <c r="A380" s="1"/>
      <c r="B380" s="16"/>
      <c r="C380" s="17"/>
      <c r="D380" s="67"/>
      <c r="E380" s="72"/>
      <c r="F380" s="1"/>
      <c r="G380" s="1"/>
      <c r="H380" s="1"/>
      <c r="I380" s="1"/>
      <c r="J380" s="1"/>
      <c r="K380" s="1"/>
      <c r="L380" s="1"/>
      <c r="M380" s="1"/>
      <c r="N380" s="1"/>
    </row>
    <row r="381" ht="27.75" customHeight="1">
      <c r="A381" s="1"/>
      <c r="B381" s="16"/>
      <c r="C381" s="17"/>
      <c r="D381" s="67"/>
      <c r="E381" s="72"/>
      <c r="F381" s="1"/>
      <c r="G381" s="1"/>
      <c r="H381" s="1"/>
      <c r="I381" s="1"/>
      <c r="J381" s="1"/>
      <c r="K381" s="1"/>
      <c r="L381" s="1"/>
      <c r="M381" s="1"/>
      <c r="N381" s="1"/>
    </row>
    <row r="382" ht="27.75" customHeight="1">
      <c r="A382" s="1"/>
      <c r="B382" s="16"/>
      <c r="C382" s="17"/>
      <c r="D382" s="67"/>
      <c r="E382" s="72"/>
      <c r="F382" s="1"/>
      <c r="G382" s="1"/>
      <c r="H382" s="1"/>
      <c r="I382" s="1"/>
      <c r="J382" s="1"/>
      <c r="K382" s="1"/>
      <c r="L382" s="1"/>
      <c r="M382" s="1"/>
      <c r="N382" s="1"/>
    </row>
    <row r="383" ht="27.75" customHeight="1">
      <c r="A383" s="1"/>
      <c r="B383" s="16"/>
      <c r="C383" s="17"/>
      <c r="D383" s="67"/>
      <c r="E383" s="72"/>
      <c r="F383" s="1"/>
      <c r="G383" s="1"/>
      <c r="H383" s="1"/>
      <c r="I383" s="1"/>
      <c r="J383" s="1"/>
      <c r="K383" s="1"/>
      <c r="L383" s="1"/>
      <c r="M383" s="1"/>
      <c r="N383" s="1"/>
    </row>
    <row r="384" ht="27.75" customHeight="1">
      <c r="A384" s="1"/>
      <c r="B384" s="16"/>
      <c r="C384" s="17"/>
      <c r="D384" s="67"/>
      <c r="E384" s="72"/>
      <c r="F384" s="1"/>
      <c r="G384" s="1"/>
      <c r="H384" s="1"/>
      <c r="I384" s="1"/>
      <c r="J384" s="1"/>
      <c r="K384" s="1"/>
      <c r="L384" s="1"/>
      <c r="M384" s="1"/>
      <c r="N384" s="1"/>
    </row>
    <row r="385" ht="27.75" customHeight="1">
      <c r="A385" s="1"/>
      <c r="B385" s="16"/>
      <c r="C385" s="17"/>
      <c r="D385" s="67"/>
      <c r="E385" s="72"/>
      <c r="F385" s="1"/>
      <c r="G385" s="1"/>
      <c r="H385" s="1"/>
      <c r="I385" s="1"/>
      <c r="J385" s="1"/>
      <c r="K385" s="1"/>
      <c r="L385" s="1"/>
      <c r="M385" s="1"/>
      <c r="N385" s="1"/>
    </row>
    <row r="386" ht="27.75" customHeight="1">
      <c r="A386" s="1"/>
      <c r="B386" s="16"/>
      <c r="C386" s="17"/>
      <c r="D386" s="67"/>
      <c r="E386" s="72"/>
      <c r="F386" s="1"/>
      <c r="G386" s="1"/>
      <c r="H386" s="1"/>
      <c r="I386" s="1"/>
      <c r="J386" s="1"/>
      <c r="K386" s="1"/>
      <c r="L386" s="1"/>
      <c r="M386" s="1"/>
      <c r="N386" s="1"/>
    </row>
    <row r="387" ht="27.75" customHeight="1">
      <c r="A387" s="1"/>
      <c r="B387" s="16"/>
      <c r="C387" s="17"/>
      <c r="D387" s="67"/>
      <c r="E387" s="72"/>
      <c r="F387" s="1"/>
      <c r="G387" s="1"/>
      <c r="H387" s="1"/>
      <c r="I387" s="1"/>
      <c r="J387" s="1"/>
      <c r="K387" s="1"/>
      <c r="L387" s="1"/>
      <c r="M387" s="1"/>
      <c r="N387" s="1"/>
    </row>
    <row r="388" ht="27.75" customHeight="1">
      <c r="A388" s="1"/>
      <c r="B388" s="16"/>
      <c r="C388" s="17"/>
      <c r="D388" s="67"/>
      <c r="E388" s="72"/>
      <c r="F388" s="1"/>
      <c r="G388" s="1"/>
      <c r="H388" s="1"/>
      <c r="I388" s="1"/>
      <c r="J388" s="1"/>
      <c r="K388" s="1"/>
      <c r="L388" s="1"/>
      <c r="M388" s="1"/>
      <c r="N388" s="1"/>
    </row>
    <row r="389" ht="27.75" customHeight="1">
      <c r="A389" s="1"/>
      <c r="B389" s="16"/>
      <c r="C389" s="17"/>
      <c r="D389" s="67"/>
      <c r="E389" s="72"/>
      <c r="F389" s="1"/>
      <c r="G389" s="1"/>
      <c r="H389" s="1"/>
      <c r="I389" s="1"/>
      <c r="J389" s="1"/>
      <c r="K389" s="1"/>
      <c r="L389" s="1"/>
      <c r="M389" s="1"/>
      <c r="N389" s="1"/>
    </row>
    <row r="390" ht="27.75" customHeight="1">
      <c r="A390" s="1"/>
      <c r="B390" s="16"/>
      <c r="C390" s="17"/>
      <c r="D390" s="67"/>
      <c r="E390" s="72"/>
      <c r="F390" s="1"/>
      <c r="G390" s="1"/>
      <c r="H390" s="1"/>
      <c r="I390" s="1"/>
      <c r="J390" s="1"/>
      <c r="K390" s="1"/>
      <c r="L390" s="1"/>
      <c r="M390" s="1"/>
      <c r="N390" s="1"/>
    </row>
    <row r="391" ht="27.75" customHeight="1">
      <c r="A391" s="1"/>
      <c r="B391" s="16"/>
      <c r="C391" s="17"/>
      <c r="D391" s="67"/>
      <c r="E391" s="72"/>
      <c r="F391" s="1"/>
      <c r="G391" s="1"/>
      <c r="H391" s="1"/>
      <c r="I391" s="1"/>
      <c r="J391" s="1"/>
      <c r="K391" s="1"/>
      <c r="L391" s="1"/>
      <c r="M391" s="1"/>
      <c r="N391" s="1"/>
    </row>
    <row r="392" ht="27.75" customHeight="1">
      <c r="A392" s="1"/>
      <c r="B392" s="16"/>
      <c r="C392" s="17"/>
      <c r="D392" s="67"/>
      <c r="E392" s="72"/>
      <c r="F392" s="1"/>
      <c r="G392" s="1"/>
      <c r="H392" s="1"/>
      <c r="I392" s="1"/>
      <c r="J392" s="1"/>
      <c r="K392" s="1"/>
      <c r="L392" s="1"/>
      <c r="M392" s="1"/>
      <c r="N392" s="1"/>
    </row>
    <row r="393" ht="27.75" customHeight="1">
      <c r="A393" s="1"/>
      <c r="B393" s="16"/>
      <c r="C393" s="17"/>
      <c r="D393" s="67"/>
      <c r="E393" s="72"/>
      <c r="F393" s="1"/>
      <c r="G393" s="1"/>
      <c r="H393" s="1"/>
      <c r="I393" s="1"/>
      <c r="J393" s="1"/>
      <c r="K393" s="1"/>
      <c r="L393" s="1"/>
      <c r="M393" s="1"/>
      <c r="N393" s="1"/>
    </row>
    <row r="394" ht="27.75" customHeight="1">
      <c r="A394" s="1"/>
      <c r="B394" s="16"/>
      <c r="C394" s="17"/>
      <c r="D394" s="67"/>
      <c r="E394" s="72"/>
      <c r="F394" s="1"/>
      <c r="G394" s="1"/>
      <c r="H394" s="1"/>
      <c r="I394" s="1"/>
      <c r="J394" s="1"/>
      <c r="K394" s="1"/>
      <c r="L394" s="1"/>
      <c r="M394" s="1"/>
      <c r="N394" s="1"/>
    </row>
    <row r="395" ht="27.75" customHeight="1">
      <c r="A395" s="1"/>
      <c r="B395" s="16"/>
      <c r="C395" s="17"/>
      <c r="D395" s="67"/>
      <c r="E395" s="72"/>
      <c r="F395" s="1"/>
      <c r="G395" s="1"/>
      <c r="H395" s="1"/>
      <c r="I395" s="1"/>
      <c r="J395" s="1"/>
      <c r="K395" s="1"/>
      <c r="L395" s="1"/>
      <c r="M395" s="1"/>
      <c r="N395" s="1"/>
    </row>
    <row r="396" ht="27.75" customHeight="1">
      <c r="A396" s="1"/>
      <c r="B396" s="16"/>
      <c r="C396" s="17"/>
      <c r="D396" s="67"/>
      <c r="E396" s="72"/>
      <c r="F396" s="1"/>
      <c r="G396" s="1"/>
      <c r="H396" s="1"/>
      <c r="I396" s="1"/>
      <c r="J396" s="1"/>
      <c r="K396" s="1"/>
      <c r="L396" s="1"/>
      <c r="M396" s="1"/>
      <c r="N396" s="1"/>
    </row>
    <row r="397" ht="27.75" customHeight="1">
      <c r="A397" s="1"/>
      <c r="B397" s="16"/>
      <c r="C397" s="17"/>
      <c r="D397" s="67"/>
      <c r="E397" s="72"/>
      <c r="F397" s="1"/>
      <c r="G397" s="1"/>
      <c r="H397" s="1"/>
      <c r="I397" s="1"/>
      <c r="J397" s="1"/>
      <c r="K397" s="1"/>
      <c r="L397" s="1"/>
      <c r="M397" s="1"/>
      <c r="N397" s="1"/>
    </row>
    <row r="398" ht="27.75" customHeight="1">
      <c r="A398" s="1"/>
      <c r="B398" s="16"/>
      <c r="C398" s="17"/>
      <c r="D398" s="67"/>
      <c r="E398" s="72"/>
      <c r="F398" s="1"/>
      <c r="G398" s="1"/>
      <c r="H398" s="1"/>
      <c r="I398" s="1"/>
      <c r="J398" s="1"/>
      <c r="K398" s="1"/>
      <c r="L398" s="1"/>
      <c r="M398" s="1"/>
      <c r="N398" s="1"/>
    </row>
    <row r="399" ht="27.75" customHeight="1">
      <c r="A399" s="1"/>
      <c r="B399" s="16"/>
      <c r="C399" s="17"/>
      <c r="D399" s="67"/>
      <c r="E399" s="72"/>
      <c r="F399" s="1"/>
      <c r="G399" s="1"/>
      <c r="H399" s="1"/>
      <c r="I399" s="1"/>
      <c r="J399" s="1"/>
      <c r="K399" s="1"/>
      <c r="L399" s="1"/>
      <c r="M399" s="1"/>
      <c r="N399" s="1"/>
    </row>
    <row r="400" ht="27.75" customHeight="1">
      <c r="A400" s="1"/>
      <c r="B400" s="16"/>
      <c r="C400" s="17"/>
      <c r="D400" s="67"/>
      <c r="E400" s="72"/>
      <c r="F400" s="1"/>
      <c r="G400" s="1"/>
      <c r="H400" s="1"/>
      <c r="I400" s="1"/>
      <c r="J400" s="1"/>
      <c r="K400" s="1"/>
      <c r="L400" s="1"/>
      <c r="M400" s="1"/>
      <c r="N400" s="1"/>
    </row>
    <row r="401" ht="27.75" customHeight="1">
      <c r="A401" s="1"/>
      <c r="B401" s="16"/>
      <c r="C401" s="17"/>
      <c r="D401" s="67"/>
      <c r="E401" s="72"/>
      <c r="F401" s="1"/>
      <c r="G401" s="1"/>
      <c r="H401" s="1"/>
      <c r="I401" s="1"/>
      <c r="J401" s="1"/>
      <c r="K401" s="1"/>
      <c r="L401" s="1"/>
      <c r="M401" s="1"/>
      <c r="N401" s="1"/>
    </row>
    <row r="402" ht="27.75" customHeight="1">
      <c r="A402" s="1"/>
      <c r="B402" s="16"/>
      <c r="C402" s="17"/>
      <c r="D402" s="67"/>
      <c r="E402" s="72"/>
      <c r="F402" s="1"/>
      <c r="G402" s="1"/>
      <c r="H402" s="1"/>
      <c r="I402" s="1"/>
      <c r="J402" s="1"/>
      <c r="K402" s="1"/>
      <c r="L402" s="1"/>
      <c r="M402" s="1"/>
      <c r="N402" s="1"/>
    </row>
    <row r="403" ht="27.75" customHeight="1">
      <c r="A403" s="1"/>
      <c r="B403" s="16"/>
      <c r="C403" s="17"/>
      <c r="D403" s="67"/>
      <c r="E403" s="72"/>
      <c r="F403" s="1"/>
      <c r="G403" s="1"/>
      <c r="H403" s="1"/>
      <c r="I403" s="1"/>
      <c r="J403" s="1"/>
      <c r="K403" s="1"/>
      <c r="L403" s="1"/>
      <c r="M403" s="1"/>
      <c r="N403" s="1"/>
    </row>
    <row r="404" ht="27.75" customHeight="1">
      <c r="A404" s="1"/>
      <c r="B404" s="16"/>
      <c r="C404" s="17"/>
      <c r="D404" s="67"/>
      <c r="E404" s="72"/>
      <c r="F404" s="1"/>
      <c r="G404" s="1"/>
      <c r="H404" s="1"/>
      <c r="I404" s="1"/>
      <c r="J404" s="1"/>
      <c r="K404" s="1"/>
      <c r="L404" s="1"/>
      <c r="M404" s="1"/>
      <c r="N404" s="1"/>
    </row>
    <row r="405" ht="27.75" customHeight="1">
      <c r="A405" s="1"/>
      <c r="B405" s="16"/>
      <c r="C405" s="17"/>
      <c r="D405" s="67"/>
      <c r="E405" s="72"/>
      <c r="F405" s="1"/>
      <c r="G405" s="1"/>
      <c r="H405" s="1"/>
      <c r="I405" s="1"/>
      <c r="J405" s="1"/>
      <c r="K405" s="1"/>
      <c r="L405" s="1"/>
      <c r="M405" s="1"/>
      <c r="N405" s="1"/>
    </row>
    <row r="406" ht="27.75" customHeight="1">
      <c r="A406" s="1"/>
      <c r="B406" s="16"/>
      <c r="C406" s="17"/>
      <c r="D406" s="67"/>
      <c r="E406" s="72"/>
      <c r="F406" s="1"/>
      <c r="G406" s="1"/>
      <c r="H406" s="1"/>
      <c r="I406" s="1"/>
      <c r="J406" s="1"/>
      <c r="K406" s="1"/>
      <c r="L406" s="1"/>
      <c r="M406" s="1"/>
      <c r="N406" s="1"/>
    </row>
    <row r="407" ht="27.75" customHeight="1">
      <c r="A407" s="1"/>
      <c r="B407" s="16"/>
      <c r="C407" s="17"/>
      <c r="D407" s="67"/>
      <c r="E407" s="72"/>
      <c r="F407" s="1"/>
      <c r="G407" s="1"/>
      <c r="H407" s="1"/>
      <c r="I407" s="1"/>
      <c r="J407" s="1"/>
      <c r="K407" s="1"/>
      <c r="L407" s="1"/>
      <c r="M407" s="1"/>
      <c r="N407" s="1"/>
    </row>
    <row r="408" ht="27.75" customHeight="1">
      <c r="A408" s="1"/>
      <c r="B408" s="16"/>
      <c r="C408" s="17"/>
      <c r="D408" s="67"/>
      <c r="E408" s="72"/>
      <c r="F408" s="1"/>
      <c r="G408" s="1"/>
      <c r="H408" s="1"/>
      <c r="I408" s="1"/>
      <c r="J408" s="1"/>
      <c r="K408" s="1"/>
      <c r="L408" s="1"/>
      <c r="M408" s="1"/>
      <c r="N408" s="1"/>
    </row>
    <row r="409" ht="27.75" customHeight="1">
      <c r="A409" s="1"/>
      <c r="B409" s="16"/>
      <c r="C409" s="17"/>
      <c r="D409" s="67"/>
      <c r="E409" s="72"/>
      <c r="F409" s="1"/>
      <c r="G409" s="1"/>
      <c r="H409" s="1"/>
      <c r="I409" s="1"/>
      <c r="J409" s="1"/>
      <c r="K409" s="1"/>
      <c r="L409" s="1"/>
      <c r="M409" s="1"/>
      <c r="N409" s="1"/>
    </row>
    <row r="410" ht="27.75" customHeight="1">
      <c r="A410" s="1"/>
      <c r="B410" s="16"/>
      <c r="C410" s="17"/>
      <c r="D410" s="67"/>
      <c r="E410" s="72"/>
      <c r="F410" s="1"/>
      <c r="G410" s="1"/>
      <c r="H410" s="1"/>
      <c r="I410" s="1"/>
      <c r="J410" s="1"/>
      <c r="K410" s="1"/>
      <c r="L410" s="1"/>
      <c r="M410" s="1"/>
      <c r="N410" s="1"/>
    </row>
    <row r="411" ht="27.75" customHeight="1">
      <c r="A411" s="1"/>
      <c r="B411" s="16"/>
      <c r="C411" s="17"/>
      <c r="D411" s="67"/>
      <c r="E411" s="72"/>
      <c r="F411" s="1"/>
      <c r="G411" s="1"/>
      <c r="H411" s="1"/>
      <c r="I411" s="1"/>
      <c r="J411" s="1"/>
      <c r="K411" s="1"/>
      <c r="L411" s="1"/>
      <c r="M411" s="1"/>
      <c r="N411" s="1"/>
    </row>
    <row r="412" ht="27.75" customHeight="1">
      <c r="A412" s="1"/>
      <c r="B412" s="16"/>
      <c r="C412" s="17"/>
      <c r="D412" s="67"/>
      <c r="E412" s="72"/>
      <c r="F412" s="1"/>
      <c r="G412" s="1"/>
      <c r="H412" s="1"/>
      <c r="I412" s="1"/>
      <c r="J412" s="1"/>
      <c r="K412" s="1"/>
      <c r="L412" s="1"/>
      <c r="M412" s="1"/>
      <c r="N412" s="1"/>
    </row>
    <row r="413" ht="27.75" customHeight="1">
      <c r="A413" s="1"/>
      <c r="B413" s="16"/>
      <c r="C413" s="17"/>
      <c r="D413" s="67"/>
      <c r="E413" s="72"/>
      <c r="F413" s="1"/>
      <c r="G413" s="1"/>
      <c r="H413" s="1"/>
      <c r="I413" s="1"/>
      <c r="J413" s="1"/>
      <c r="K413" s="1"/>
      <c r="L413" s="1"/>
      <c r="M413" s="1"/>
      <c r="N413" s="1"/>
    </row>
    <row r="414" ht="27.75" customHeight="1">
      <c r="A414" s="1"/>
      <c r="B414" s="16"/>
      <c r="C414" s="17"/>
      <c r="D414" s="67"/>
      <c r="E414" s="72"/>
      <c r="F414" s="1"/>
      <c r="G414" s="1"/>
      <c r="H414" s="1"/>
      <c r="I414" s="1"/>
      <c r="J414" s="1"/>
      <c r="K414" s="1"/>
      <c r="L414" s="1"/>
      <c r="M414" s="1"/>
      <c r="N414" s="1"/>
    </row>
    <row r="415" ht="27.75" customHeight="1">
      <c r="A415" s="1"/>
      <c r="B415" s="16"/>
      <c r="C415" s="17"/>
      <c r="D415" s="67"/>
      <c r="E415" s="72"/>
      <c r="F415" s="1"/>
      <c r="G415" s="1"/>
      <c r="H415" s="1"/>
      <c r="I415" s="1"/>
      <c r="J415" s="1"/>
      <c r="K415" s="1"/>
      <c r="L415" s="1"/>
      <c r="M415" s="1"/>
      <c r="N415" s="1"/>
    </row>
    <row r="416" ht="27.75" customHeight="1">
      <c r="A416" s="1"/>
      <c r="B416" s="16"/>
      <c r="C416" s="17"/>
      <c r="D416" s="67"/>
      <c r="E416" s="72"/>
      <c r="F416" s="1"/>
      <c r="G416" s="1"/>
      <c r="H416" s="1"/>
      <c r="I416" s="1"/>
      <c r="J416" s="1"/>
      <c r="K416" s="1"/>
      <c r="L416" s="1"/>
      <c r="M416" s="1"/>
      <c r="N416" s="1"/>
    </row>
    <row r="417" ht="27.75" customHeight="1">
      <c r="A417" s="1"/>
      <c r="B417" s="16"/>
      <c r="C417" s="17"/>
      <c r="D417" s="67"/>
      <c r="E417" s="72"/>
      <c r="F417" s="1"/>
      <c r="G417" s="1"/>
      <c r="H417" s="1"/>
      <c r="I417" s="1"/>
      <c r="J417" s="1"/>
      <c r="K417" s="1"/>
      <c r="L417" s="1"/>
      <c r="M417" s="1"/>
      <c r="N417" s="1"/>
    </row>
    <row r="418" ht="27.75" customHeight="1">
      <c r="A418" s="1"/>
      <c r="B418" s="16"/>
      <c r="C418" s="17"/>
      <c r="D418" s="67"/>
      <c r="E418" s="72"/>
      <c r="F418" s="1"/>
      <c r="G418" s="1"/>
      <c r="H418" s="1"/>
      <c r="I418" s="1"/>
      <c r="J418" s="1"/>
      <c r="K418" s="1"/>
      <c r="L418" s="1"/>
      <c r="M418" s="1"/>
      <c r="N418" s="1"/>
    </row>
    <row r="419" ht="27.75" customHeight="1">
      <c r="A419" s="1"/>
      <c r="B419" s="16"/>
      <c r="C419" s="17"/>
      <c r="D419" s="67"/>
      <c r="E419" s="72"/>
      <c r="F419" s="1"/>
      <c r="G419" s="1"/>
      <c r="H419" s="1"/>
      <c r="I419" s="1"/>
      <c r="J419" s="1"/>
      <c r="K419" s="1"/>
      <c r="L419" s="1"/>
      <c r="M419" s="1"/>
      <c r="N419" s="1"/>
    </row>
    <row r="420" ht="27.75" customHeight="1">
      <c r="A420" s="1"/>
      <c r="B420" s="16"/>
      <c r="C420" s="17"/>
      <c r="D420" s="67"/>
      <c r="E420" s="72"/>
      <c r="F420" s="1"/>
      <c r="G420" s="1"/>
      <c r="H420" s="1"/>
      <c r="I420" s="1"/>
      <c r="J420" s="1"/>
      <c r="K420" s="1"/>
      <c r="L420" s="1"/>
      <c r="M420" s="1"/>
      <c r="N420" s="1"/>
    </row>
    <row r="421" ht="27.75" customHeight="1">
      <c r="A421" s="1"/>
      <c r="B421" s="16"/>
      <c r="C421" s="17"/>
      <c r="D421" s="67"/>
      <c r="E421" s="72"/>
      <c r="F421" s="1"/>
      <c r="G421" s="1"/>
      <c r="H421" s="1"/>
      <c r="I421" s="1"/>
      <c r="J421" s="1"/>
      <c r="K421" s="1"/>
      <c r="L421" s="1"/>
      <c r="M421" s="1"/>
      <c r="N421" s="1"/>
    </row>
    <row r="422" ht="27.75" customHeight="1">
      <c r="A422" s="1"/>
      <c r="B422" s="16"/>
      <c r="C422" s="17"/>
      <c r="D422" s="67"/>
      <c r="E422" s="72"/>
      <c r="F422" s="1"/>
      <c r="G422" s="1"/>
      <c r="H422" s="1"/>
      <c r="I422" s="1"/>
      <c r="J422" s="1"/>
      <c r="K422" s="1"/>
      <c r="L422" s="1"/>
      <c r="M422" s="1"/>
      <c r="N422" s="1"/>
    </row>
    <row r="423" ht="27.75" customHeight="1">
      <c r="A423" s="1"/>
      <c r="B423" s="16"/>
      <c r="C423" s="17"/>
      <c r="D423" s="67"/>
      <c r="E423" s="72"/>
      <c r="F423" s="1"/>
      <c r="G423" s="1"/>
      <c r="H423" s="1"/>
      <c r="I423" s="1"/>
      <c r="J423" s="1"/>
      <c r="K423" s="1"/>
      <c r="L423" s="1"/>
      <c r="M423" s="1"/>
      <c r="N423" s="1"/>
    </row>
    <row r="424" ht="27.75" customHeight="1">
      <c r="A424" s="1"/>
      <c r="B424" s="16"/>
      <c r="C424" s="17"/>
      <c r="D424" s="67"/>
      <c r="E424" s="72"/>
      <c r="F424" s="1"/>
      <c r="G424" s="1"/>
      <c r="H424" s="1"/>
      <c r="I424" s="1"/>
      <c r="J424" s="1"/>
      <c r="K424" s="1"/>
      <c r="L424" s="1"/>
      <c r="M424" s="1"/>
      <c r="N424" s="1"/>
    </row>
    <row r="425" ht="27.75" customHeight="1">
      <c r="A425" s="1"/>
      <c r="B425" s="16"/>
      <c r="C425" s="17"/>
      <c r="D425" s="67"/>
      <c r="E425" s="72"/>
      <c r="F425" s="1"/>
      <c r="G425" s="1"/>
      <c r="H425" s="1"/>
      <c r="I425" s="1"/>
      <c r="J425" s="1"/>
      <c r="K425" s="1"/>
      <c r="L425" s="1"/>
      <c r="M425" s="1"/>
      <c r="N425" s="1"/>
    </row>
    <row r="426" ht="27.75" customHeight="1">
      <c r="A426" s="1"/>
      <c r="B426" s="16"/>
      <c r="C426" s="17"/>
      <c r="D426" s="67"/>
      <c r="E426" s="72"/>
      <c r="F426" s="1"/>
      <c r="G426" s="1"/>
      <c r="H426" s="1"/>
      <c r="I426" s="1"/>
      <c r="J426" s="1"/>
      <c r="K426" s="1"/>
      <c r="L426" s="1"/>
      <c r="M426" s="1"/>
      <c r="N426" s="1"/>
    </row>
    <row r="427" ht="27.75" customHeight="1">
      <c r="A427" s="1"/>
      <c r="B427" s="16"/>
      <c r="C427" s="17"/>
      <c r="D427" s="67"/>
      <c r="E427" s="72"/>
      <c r="F427" s="1"/>
      <c r="G427" s="1"/>
      <c r="H427" s="1"/>
      <c r="I427" s="1"/>
      <c r="J427" s="1"/>
      <c r="K427" s="1"/>
      <c r="L427" s="1"/>
      <c r="M427" s="1"/>
      <c r="N427" s="1"/>
    </row>
    <row r="428" ht="27.75" customHeight="1">
      <c r="A428" s="1"/>
      <c r="B428" s="16"/>
      <c r="C428" s="17"/>
      <c r="D428" s="67"/>
      <c r="E428" s="72"/>
      <c r="F428" s="1"/>
      <c r="G428" s="1"/>
      <c r="H428" s="1"/>
      <c r="I428" s="1"/>
      <c r="J428" s="1"/>
      <c r="K428" s="1"/>
      <c r="L428" s="1"/>
      <c r="M428" s="1"/>
      <c r="N428" s="1"/>
    </row>
    <row r="429" ht="27.75" customHeight="1">
      <c r="A429" s="1"/>
      <c r="B429" s="16"/>
      <c r="C429" s="17"/>
      <c r="D429" s="67"/>
      <c r="E429" s="72"/>
      <c r="F429" s="1"/>
      <c r="G429" s="1"/>
      <c r="H429" s="1"/>
      <c r="I429" s="1"/>
      <c r="J429" s="1"/>
      <c r="K429" s="1"/>
      <c r="L429" s="1"/>
      <c r="M429" s="1"/>
      <c r="N429" s="1"/>
    </row>
    <row r="430" ht="27.75" customHeight="1">
      <c r="A430" s="1"/>
      <c r="B430" s="16"/>
      <c r="C430" s="17"/>
      <c r="D430" s="67"/>
      <c r="E430" s="72"/>
      <c r="F430" s="1"/>
      <c r="G430" s="1"/>
      <c r="H430" s="1"/>
      <c r="I430" s="1"/>
      <c r="J430" s="1"/>
      <c r="K430" s="1"/>
      <c r="L430" s="1"/>
      <c r="M430" s="1"/>
      <c r="N430" s="1"/>
    </row>
    <row r="431" ht="27.75" customHeight="1">
      <c r="A431" s="1"/>
      <c r="B431" s="16"/>
      <c r="C431" s="17"/>
      <c r="D431" s="67"/>
      <c r="E431" s="72"/>
      <c r="F431" s="1"/>
      <c r="G431" s="1"/>
      <c r="H431" s="1"/>
      <c r="I431" s="1"/>
      <c r="J431" s="1"/>
      <c r="K431" s="1"/>
      <c r="L431" s="1"/>
      <c r="M431" s="1"/>
      <c r="N431" s="1"/>
    </row>
    <row r="432" ht="27.75" customHeight="1">
      <c r="A432" s="1"/>
      <c r="B432" s="16"/>
      <c r="C432" s="17"/>
      <c r="D432" s="67"/>
      <c r="E432" s="72"/>
      <c r="F432" s="1"/>
      <c r="G432" s="1"/>
      <c r="H432" s="1"/>
      <c r="I432" s="1"/>
      <c r="J432" s="1"/>
      <c r="K432" s="1"/>
      <c r="L432" s="1"/>
      <c r="M432" s="1"/>
      <c r="N432" s="1"/>
    </row>
    <row r="433" ht="27.75" customHeight="1">
      <c r="A433" s="1"/>
      <c r="B433" s="16"/>
      <c r="C433" s="17"/>
      <c r="D433" s="67"/>
      <c r="E433" s="72"/>
      <c r="F433" s="1"/>
      <c r="G433" s="1"/>
      <c r="H433" s="1"/>
      <c r="I433" s="1"/>
      <c r="J433" s="1"/>
      <c r="K433" s="1"/>
      <c r="L433" s="1"/>
      <c r="M433" s="1"/>
      <c r="N433" s="1"/>
    </row>
    <row r="434" ht="27.75" customHeight="1">
      <c r="A434" s="1"/>
      <c r="B434" s="16"/>
      <c r="C434" s="17"/>
      <c r="D434" s="67"/>
      <c r="E434" s="72"/>
      <c r="F434" s="1"/>
      <c r="G434" s="1"/>
      <c r="H434" s="1"/>
      <c r="I434" s="1"/>
      <c r="J434" s="1"/>
      <c r="K434" s="1"/>
      <c r="L434" s="1"/>
      <c r="M434" s="1"/>
      <c r="N434" s="1"/>
    </row>
    <row r="435" ht="27.75" customHeight="1">
      <c r="A435" s="1"/>
      <c r="B435" s="16"/>
      <c r="C435" s="17"/>
      <c r="D435" s="67"/>
      <c r="E435" s="72"/>
      <c r="F435" s="1"/>
      <c r="G435" s="1"/>
      <c r="H435" s="1"/>
      <c r="I435" s="1"/>
      <c r="J435" s="1"/>
      <c r="K435" s="1"/>
      <c r="L435" s="1"/>
      <c r="M435" s="1"/>
      <c r="N435" s="1"/>
    </row>
    <row r="436" ht="27.75" customHeight="1">
      <c r="A436" s="1"/>
      <c r="B436" s="16"/>
      <c r="C436" s="17"/>
      <c r="D436" s="67"/>
      <c r="E436" s="72"/>
      <c r="F436" s="1"/>
      <c r="G436" s="1"/>
      <c r="H436" s="1"/>
      <c r="I436" s="1"/>
      <c r="J436" s="1"/>
      <c r="K436" s="1"/>
      <c r="L436" s="1"/>
      <c r="M436" s="1"/>
      <c r="N436" s="1"/>
    </row>
    <row r="437" ht="27.75" customHeight="1">
      <c r="A437" s="1"/>
      <c r="B437" s="16"/>
      <c r="C437" s="17"/>
      <c r="D437" s="67"/>
      <c r="E437" s="72"/>
      <c r="F437" s="1"/>
      <c r="G437" s="1"/>
      <c r="H437" s="1"/>
      <c r="I437" s="1"/>
      <c r="J437" s="1"/>
      <c r="K437" s="1"/>
      <c r="L437" s="1"/>
      <c r="M437" s="1"/>
      <c r="N437" s="1"/>
    </row>
    <row r="438" ht="27.75" customHeight="1">
      <c r="A438" s="1"/>
      <c r="B438" s="16"/>
      <c r="C438" s="17"/>
      <c r="D438" s="67"/>
      <c r="E438" s="72"/>
      <c r="F438" s="1"/>
      <c r="G438" s="1"/>
      <c r="H438" s="1"/>
      <c r="I438" s="1"/>
      <c r="J438" s="1"/>
      <c r="K438" s="1"/>
      <c r="L438" s="1"/>
      <c r="M438" s="1"/>
      <c r="N438" s="1"/>
    </row>
    <row r="439" ht="27.75" customHeight="1">
      <c r="A439" s="1"/>
      <c r="B439" s="16"/>
      <c r="C439" s="17"/>
      <c r="D439" s="67"/>
      <c r="E439" s="72"/>
      <c r="F439" s="1"/>
      <c r="G439" s="1"/>
      <c r="H439" s="1"/>
      <c r="I439" s="1"/>
      <c r="J439" s="1"/>
      <c r="K439" s="1"/>
      <c r="L439" s="1"/>
      <c r="M439" s="1"/>
      <c r="N439" s="1"/>
    </row>
    <row r="440" ht="27.75" customHeight="1">
      <c r="A440" s="1"/>
      <c r="B440" s="16"/>
      <c r="C440" s="17"/>
      <c r="D440" s="67"/>
      <c r="E440" s="72"/>
      <c r="F440" s="1"/>
      <c r="G440" s="1"/>
      <c r="H440" s="1"/>
      <c r="I440" s="1"/>
      <c r="J440" s="1"/>
      <c r="K440" s="1"/>
      <c r="L440" s="1"/>
      <c r="M440" s="1"/>
      <c r="N440" s="1"/>
    </row>
    <row r="441" ht="27.75" customHeight="1">
      <c r="A441" s="1"/>
      <c r="B441" s="16"/>
      <c r="C441" s="17"/>
      <c r="D441" s="67"/>
      <c r="E441" s="72"/>
      <c r="F441" s="1"/>
      <c r="G441" s="1"/>
      <c r="H441" s="1"/>
      <c r="I441" s="1"/>
      <c r="J441" s="1"/>
      <c r="K441" s="1"/>
      <c r="L441" s="1"/>
      <c r="M441" s="1"/>
      <c r="N441" s="1"/>
    </row>
    <row r="442" ht="27.75" customHeight="1">
      <c r="A442" s="1"/>
      <c r="B442" s="16"/>
      <c r="C442" s="17"/>
      <c r="D442" s="67"/>
      <c r="E442" s="72"/>
      <c r="F442" s="1"/>
      <c r="G442" s="1"/>
      <c r="H442" s="1"/>
      <c r="I442" s="1"/>
      <c r="J442" s="1"/>
      <c r="K442" s="1"/>
      <c r="L442" s="1"/>
      <c r="M442" s="1"/>
      <c r="N442" s="1"/>
    </row>
    <row r="443" ht="27.75" customHeight="1">
      <c r="A443" s="1"/>
      <c r="B443" s="16"/>
      <c r="C443" s="17"/>
      <c r="D443" s="67"/>
      <c r="E443" s="72"/>
      <c r="F443" s="1"/>
      <c r="G443" s="1"/>
      <c r="H443" s="1"/>
      <c r="I443" s="1"/>
      <c r="J443" s="1"/>
      <c r="K443" s="1"/>
      <c r="L443" s="1"/>
      <c r="M443" s="1"/>
      <c r="N443" s="1"/>
    </row>
    <row r="444" ht="27.75" customHeight="1">
      <c r="A444" s="1"/>
      <c r="B444" s="16"/>
      <c r="C444" s="17"/>
      <c r="D444" s="67"/>
      <c r="E444" s="72"/>
      <c r="F444" s="1"/>
      <c r="G444" s="1"/>
      <c r="H444" s="1"/>
      <c r="I444" s="1"/>
      <c r="J444" s="1"/>
      <c r="K444" s="1"/>
      <c r="L444" s="1"/>
      <c r="M444" s="1"/>
      <c r="N444" s="1"/>
    </row>
    <row r="445" ht="27.75" customHeight="1">
      <c r="A445" s="1"/>
      <c r="B445" s="16"/>
      <c r="C445" s="17"/>
      <c r="D445" s="67"/>
      <c r="E445" s="72"/>
      <c r="F445" s="1"/>
      <c r="G445" s="1"/>
      <c r="H445" s="1"/>
      <c r="I445" s="1"/>
      <c r="J445" s="1"/>
      <c r="K445" s="1"/>
      <c r="L445" s="1"/>
      <c r="M445" s="1"/>
      <c r="N445" s="1"/>
    </row>
    <row r="446" ht="27.75" customHeight="1">
      <c r="A446" s="1"/>
      <c r="B446" s="16"/>
      <c r="C446" s="17"/>
      <c r="D446" s="67"/>
      <c r="E446" s="72"/>
      <c r="F446" s="1"/>
      <c r="G446" s="1"/>
      <c r="H446" s="1"/>
      <c r="I446" s="1"/>
      <c r="J446" s="1"/>
      <c r="K446" s="1"/>
      <c r="L446" s="1"/>
      <c r="M446" s="1"/>
      <c r="N446" s="1"/>
    </row>
    <row r="447" ht="27.75" customHeight="1">
      <c r="A447" s="1"/>
      <c r="B447" s="16"/>
      <c r="C447" s="17"/>
      <c r="D447" s="67"/>
      <c r="E447" s="72"/>
      <c r="F447" s="1"/>
      <c r="G447" s="1"/>
      <c r="H447" s="1"/>
      <c r="I447" s="1"/>
      <c r="J447" s="1"/>
      <c r="K447" s="1"/>
      <c r="L447" s="1"/>
      <c r="M447" s="1"/>
      <c r="N447" s="1"/>
    </row>
    <row r="448" ht="27.75" customHeight="1">
      <c r="A448" s="1"/>
      <c r="B448" s="16"/>
      <c r="C448" s="17"/>
      <c r="D448" s="67"/>
      <c r="E448" s="72"/>
      <c r="F448" s="1"/>
      <c r="G448" s="1"/>
      <c r="H448" s="1"/>
      <c r="I448" s="1"/>
      <c r="J448" s="1"/>
      <c r="K448" s="1"/>
      <c r="L448" s="1"/>
      <c r="M448" s="1"/>
      <c r="N448" s="1"/>
    </row>
    <row r="449" ht="27.75" customHeight="1">
      <c r="A449" s="1"/>
      <c r="B449" s="16"/>
      <c r="C449" s="17"/>
      <c r="D449" s="67"/>
      <c r="E449" s="72"/>
      <c r="F449" s="1"/>
      <c r="G449" s="1"/>
      <c r="H449" s="1"/>
      <c r="I449" s="1"/>
      <c r="J449" s="1"/>
      <c r="K449" s="1"/>
      <c r="L449" s="1"/>
      <c r="M449" s="1"/>
      <c r="N449" s="1"/>
    </row>
    <row r="450" ht="27.75" customHeight="1">
      <c r="A450" s="1"/>
      <c r="B450" s="16"/>
      <c r="C450" s="17"/>
      <c r="D450" s="67"/>
      <c r="E450" s="72"/>
      <c r="F450" s="1"/>
      <c r="G450" s="1"/>
      <c r="H450" s="1"/>
      <c r="I450" s="1"/>
      <c r="J450" s="1"/>
      <c r="K450" s="1"/>
      <c r="L450" s="1"/>
      <c r="M450" s="1"/>
      <c r="N450" s="1"/>
    </row>
    <row r="451" ht="27.75" customHeight="1">
      <c r="A451" s="1"/>
      <c r="B451" s="16"/>
      <c r="C451" s="17"/>
      <c r="D451" s="67"/>
      <c r="E451" s="72"/>
      <c r="F451" s="1"/>
      <c r="G451" s="1"/>
      <c r="H451" s="1"/>
      <c r="I451" s="1"/>
      <c r="J451" s="1"/>
      <c r="K451" s="1"/>
      <c r="L451" s="1"/>
      <c r="M451" s="1"/>
      <c r="N451" s="1"/>
    </row>
    <row r="452" ht="27.75" customHeight="1">
      <c r="A452" s="1"/>
      <c r="B452" s="16"/>
      <c r="C452" s="17"/>
      <c r="D452" s="67"/>
      <c r="E452" s="72"/>
      <c r="F452" s="1"/>
      <c r="G452" s="1"/>
      <c r="H452" s="1"/>
      <c r="I452" s="1"/>
      <c r="J452" s="1"/>
      <c r="K452" s="1"/>
      <c r="L452" s="1"/>
      <c r="M452" s="1"/>
      <c r="N452" s="1"/>
    </row>
    <row r="453" ht="27.75" customHeight="1">
      <c r="A453" s="1"/>
      <c r="B453" s="16"/>
      <c r="C453" s="17"/>
      <c r="D453" s="67"/>
      <c r="E453" s="72"/>
      <c r="F453" s="1"/>
      <c r="G453" s="1"/>
      <c r="H453" s="1"/>
      <c r="I453" s="1"/>
      <c r="J453" s="1"/>
      <c r="K453" s="1"/>
      <c r="L453" s="1"/>
      <c r="M453" s="1"/>
      <c r="N453" s="1"/>
    </row>
    <row r="454" ht="27.75" customHeight="1">
      <c r="A454" s="1"/>
      <c r="B454" s="16"/>
      <c r="C454" s="17"/>
      <c r="D454" s="67"/>
      <c r="E454" s="72"/>
      <c r="F454" s="1"/>
      <c r="G454" s="1"/>
      <c r="H454" s="1"/>
      <c r="I454" s="1"/>
      <c r="J454" s="1"/>
      <c r="K454" s="1"/>
      <c r="L454" s="1"/>
      <c r="M454" s="1"/>
      <c r="N454" s="1"/>
    </row>
    <row r="455" ht="27.75" customHeight="1">
      <c r="A455" s="1"/>
      <c r="B455" s="16"/>
      <c r="C455" s="17"/>
      <c r="D455" s="67"/>
      <c r="E455" s="72"/>
      <c r="F455" s="1"/>
      <c r="G455" s="1"/>
      <c r="H455" s="1"/>
      <c r="I455" s="1"/>
      <c r="J455" s="1"/>
      <c r="K455" s="1"/>
      <c r="L455" s="1"/>
      <c r="M455" s="1"/>
      <c r="N455" s="1"/>
    </row>
    <row r="456" ht="27.75" customHeight="1">
      <c r="A456" s="1"/>
      <c r="B456" s="16"/>
      <c r="C456" s="17"/>
      <c r="D456" s="67"/>
      <c r="E456" s="72"/>
      <c r="F456" s="1"/>
      <c r="G456" s="1"/>
      <c r="H456" s="1"/>
      <c r="I456" s="1"/>
      <c r="J456" s="1"/>
      <c r="K456" s="1"/>
      <c r="L456" s="1"/>
      <c r="M456" s="1"/>
      <c r="N456" s="1"/>
    </row>
    <row r="457" ht="27.75" customHeight="1">
      <c r="A457" s="1"/>
      <c r="B457" s="16"/>
      <c r="C457" s="17"/>
      <c r="D457" s="67"/>
      <c r="E457" s="72"/>
      <c r="F457" s="1"/>
      <c r="G457" s="1"/>
      <c r="H457" s="1"/>
      <c r="I457" s="1"/>
      <c r="J457" s="1"/>
      <c r="K457" s="1"/>
      <c r="L457" s="1"/>
      <c r="M457" s="1"/>
      <c r="N457" s="1"/>
    </row>
    <row r="458" ht="27.75" customHeight="1">
      <c r="A458" s="1"/>
      <c r="B458" s="16"/>
      <c r="C458" s="17"/>
      <c r="D458" s="67"/>
      <c r="E458" s="72"/>
      <c r="F458" s="1"/>
      <c r="G458" s="1"/>
      <c r="H458" s="1"/>
      <c r="I458" s="1"/>
      <c r="J458" s="1"/>
      <c r="K458" s="1"/>
      <c r="L458" s="1"/>
      <c r="M458" s="1"/>
      <c r="N458" s="1"/>
    </row>
    <row r="459" ht="27.75" customHeight="1">
      <c r="A459" s="1"/>
      <c r="B459" s="16"/>
      <c r="C459" s="17"/>
      <c r="D459" s="67"/>
      <c r="E459" s="72"/>
      <c r="F459" s="1"/>
      <c r="G459" s="1"/>
      <c r="H459" s="1"/>
      <c r="I459" s="1"/>
      <c r="J459" s="1"/>
      <c r="K459" s="1"/>
      <c r="L459" s="1"/>
      <c r="M459" s="1"/>
      <c r="N459" s="1"/>
    </row>
    <row r="460" ht="27.75" customHeight="1">
      <c r="A460" s="1"/>
      <c r="B460" s="16"/>
      <c r="C460" s="17"/>
      <c r="D460" s="67"/>
      <c r="E460" s="72"/>
      <c r="F460" s="1"/>
      <c r="G460" s="1"/>
      <c r="H460" s="1"/>
      <c r="I460" s="1"/>
      <c r="J460" s="1"/>
      <c r="K460" s="1"/>
      <c r="L460" s="1"/>
      <c r="M460" s="1"/>
      <c r="N460" s="1"/>
    </row>
    <row r="461" ht="27.75" customHeight="1">
      <c r="A461" s="1"/>
      <c r="B461" s="16"/>
      <c r="C461" s="17"/>
      <c r="D461" s="67"/>
      <c r="E461" s="72"/>
      <c r="F461" s="1"/>
      <c r="G461" s="1"/>
      <c r="H461" s="1"/>
      <c r="I461" s="1"/>
      <c r="J461" s="1"/>
      <c r="K461" s="1"/>
      <c r="L461" s="1"/>
      <c r="M461" s="1"/>
      <c r="N461" s="1"/>
    </row>
    <row r="462" ht="27.75" customHeight="1">
      <c r="A462" s="1"/>
      <c r="B462" s="16"/>
      <c r="C462" s="17"/>
      <c r="D462" s="67"/>
      <c r="E462" s="72"/>
      <c r="F462" s="1"/>
      <c r="G462" s="1"/>
      <c r="H462" s="1"/>
      <c r="I462" s="1"/>
      <c r="J462" s="1"/>
      <c r="K462" s="1"/>
      <c r="L462" s="1"/>
      <c r="M462" s="1"/>
      <c r="N462" s="1"/>
    </row>
    <row r="463" ht="27.75" customHeight="1">
      <c r="A463" s="1"/>
      <c r="B463" s="16"/>
      <c r="C463" s="17"/>
      <c r="D463" s="67"/>
      <c r="E463" s="72"/>
      <c r="F463" s="1"/>
      <c r="G463" s="1"/>
      <c r="H463" s="1"/>
      <c r="I463" s="1"/>
      <c r="J463" s="1"/>
      <c r="K463" s="1"/>
      <c r="L463" s="1"/>
      <c r="M463" s="1"/>
      <c r="N463" s="1"/>
    </row>
    <row r="464" ht="27.75" customHeight="1">
      <c r="A464" s="1"/>
      <c r="B464" s="16"/>
      <c r="C464" s="17"/>
      <c r="D464" s="67"/>
      <c r="E464" s="72"/>
      <c r="F464" s="1"/>
      <c r="G464" s="1"/>
      <c r="H464" s="1"/>
      <c r="I464" s="1"/>
      <c r="J464" s="1"/>
      <c r="K464" s="1"/>
      <c r="L464" s="1"/>
      <c r="M464" s="1"/>
      <c r="N464" s="1"/>
    </row>
    <row r="465" ht="27.75" customHeight="1">
      <c r="A465" s="1"/>
      <c r="B465" s="16"/>
      <c r="C465" s="17"/>
      <c r="D465" s="67"/>
      <c r="E465" s="72"/>
      <c r="F465" s="1"/>
      <c r="G465" s="1"/>
      <c r="H465" s="1"/>
      <c r="I465" s="1"/>
      <c r="J465" s="1"/>
      <c r="K465" s="1"/>
      <c r="L465" s="1"/>
      <c r="M465" s="1"/>
      <c r="N465" s="1"/>
    </row>
    <row r="466" ht="27.75" customHeight="1">
      <c r="A466" s="1"/>
      <c r="B466" s="16"/>
      <c r="C466" s="17"/>
      <c r="D466" s="67"/>
      <c r="E466" s="72"/>
      <c r="F466" s="1"/>
      <c r="G466" s="1"/>
      <c r="H466" s="1"/>
      <c r="I466" s="1"/>
      <c r="J466" s="1"/>
      <c r="K466" s="1"/>
      <c r="L466" s="1"/>
      <c r="M466" s="1"/>
      <c r="N466" s="1"/>
    </row>
    <row r="467" ht="27.75" customHeight="1">
      <c r="A467" s="1"/>
      <c r="B467" s="16"/>
      <c r="C467" s="17"/>
      <c r="D467" s="67"/>
      <c r="E467" s="72"/>
      <c r="F467" s="1"/>
      <c r="G467" s="1"/>
      <c r="H467" s="1"/>
      <c r="I467" s="1"/>
      <c r="J467" s="1"/>
      <c r="K467" s="1"/>
      <c r="L467" s="1"/>
      <c r="M467" s="1"/>
      <c r="N467" s="1"/>
    </row>
    <row r="468" ht="27.75" customHeight="1">
      <c r="A468" s="1"/>
      <c r="B468" s="16"/>
      <c r="C468" s="17"/>
      <c r="D468" s="67"/>
      <c r="E468" s="72"/>
      <c r="F468" s="1"/>
      <c r="G468" s="1"/>
      <c r="H468" s="1"/>
      <c r="I468" s="1"/>
      <c r="J468" s="1"/>
      <c r="K468" s="1"/>
      <c r="L468" s="1"/>
      <c r="M468" s="1"/>
      <c r="N468" s="1"/>
    </row>
    <row r="469" ht="27.75" customHeight="1">
      <c r="A469" s="1"/>
      <c r="B469" s="16"/>
      <c r="C469" s="17"/>
      <c r="D469" s="67"/>
      <c r="E469" s="72"/>
      <c r="F469" s="1"/>
      <c r="G469" s="1"/>
      <c r="H469" s="1"/>
      <c r="I469" s="1"/>
      <c r="J469" s="1"/>
      <c r="K469" s="1"/>
      <c r="L469" s="1"/>
      <c r="M469" s="1"/>
      <c r="N469" s="1"/>
    </row>
    <row r="470" ht="27.75" customHeight="1">
      <c r="A470" s="1"/>
      <c r="B470" s="16"/>
      <c r="C470" s="17"/>
      <c r="D470" s="67"/>
      <c r="E470" s="72"/>
      <c r="F470" s="1"/>
      <c r="G470" s="1"/>
      <c r="H470" s="1"/>
      <c r="I470" s="1"/>
      <c r="J470" s="1"/>
      <c r="K470" s="1"/>
      <c r="L470" s="1"/>
      <c r="M470" s="1"/>
      <c r="N470" s="1"/>
    </row>
    <row r="471" ht="27.75" customHeight="1">
      <c r="A471" s="1"/>
      <c r="B471" s="16"/>
      <c r="C471" s="17"/>
      <c r="D471" s="67"/>
      <c r="E471" s="72"/>
      <c r="F471" s="1"/>
      <c r="G471" s="1"/>
      <c r="H471" s="1"/>
      <c r="I471" s="1"/>
      <c r="J471" s="1"/>
      <c r="K471" s="1"/>
      <c r="L471" s="1"/>
      <c r="M471" s="1"/>
      <c r="N471" s="1"/>
    </row>
    <row r="472" ht="27.75" customHeight="1">
      <c r="A472" s="1"/>
      <c r="B472" s="16"/>
      <c r="C472" s="17"/>
      <c r="D472" s="67"/>
      <c r="E472" s="72"/>
      <c r="F472" s="1"/>
      <c r="G472" s="1"/>
      <c r="H472" s="1"/>
      <c r="I472" s="1"/>
      <c r="J472" s="1"/>
      <c r="K472" s="1"/>
      <c r="L472" s="1"/>
      <c r="M472" s="1"/>
      <c r="N472" s="1"/>
    </row>
    <row r="473" ht="27.75" customHeight="1">
      <c r="A473" s="1"/>
      <c r="B473" s="16"/>
      <c r="C473" s="17"/>
      <c r="D473" s="67"/>
      <c r="E473" s="72"/>
      <c r="F473" s="1"/>
      <c r="G473" s="1"/>
      <c r="H473" s="1"/>
      <c r="I473" s="1"/>
      <c r="J473" s="1"/>
      <c r="K473" s="1"/>
      <c r="L473" s="1"/>
      <c r="M473" s="1"/>
      <c r="N473" s="1"/>
    </row>
    <row r="474" ht="27.75" customHeight="1">
      <c r="A474" s="1"/>
      <c r="B474" s="16"/>
      <c r="C474" s="17"/>
      <c r="D474" s="67"/>
      <c r="E474" s="72"/>
      <c r="F474" s="1"/>
      <c r="G474" s="1"/>
      <c r="H474" s="1"/>
      <c r="I474" s="1"/>
      <c r="J474" s="1"/>
      <c r="K474" s="1"/>
      <c r="L474" s="1"/>
      <c r="M474" s="1"/>
      <c r="N474" s="1"/>
    </row>
    <row r="475" ht="27.75" customHeight="1">
      <c r="A475" s="1"/>
      <c r="B475" s="16"/>
      <c r="C475" s="17"/>
      <c r="D475" s="67"/>
      <c r="E475" s="72"/>
      <c r="F475" s="1"/>
      <c r="G475" s="1"/>
      <c r="H475" s="1"/>
      <c r="I475" s="1"/>
      <c r="J475" s="1"/>
      <c r="K475" s="1"/>
      <c r="L475" s="1"/>
      <c r="M475" s="1"/>
      <c r="N475" s="1"/>
    </row>
    <row r="476" ht="27.75" customHeight="1">
      <c r="A476" s="1"/>
      <c r="B476" s="16"/>
      <c r="C476" s="17"/>
      <c r="D476" s="67"/>
      <c r="E476" s="72"/>
      <c r="F476" s="1"/>
      <c r="G476" s="1"/>
      <c r="H476" s="1"/>
      <c r="I476" s="1"/>
      <c r="J476" s="1"/>
      <c r="K476" s="1"/>
      <c r="L476" s="1"/>
      <c r="M476" s="1"/>
      <c r="N476" s="1"/>
    </row>
    <row r="477" ht="27.75" customHeight="1">
      <c r="A477" s="1"/>
      <c r="B477" s="16"/>
      <c r="C477" s="17"/>
      <c r="D477" s="67"/>
      <c r="E477" s="72"/>
      <c r="F477" s="1"/>
      <c r="G477" s="1"/>
      <c r="H477" s="1"/>
      <c r="I477" s="1"/>
      <c r="J477" s="1"/>
      <c r="K477" s="1"/>
      <c r="L477" s="1"/>
      <c r="M477" s="1"/>
      <c r="N477" s="1"/>
    </row>
    <row r="478" ht="27.75" customHeight="1">
      <c r="A478" s="1"/>
      <c r="B478" s="16"/>
      <c r="C478" s="17"/>
      <c r="D478" s="67"/>
      <c r="E478" s="72"/>
      <c r="F478" s="1"/>
      <c r="G478" s="1"/>
      <c r="H478" s="1"/>
      <c r="I478" s="1"/>
      <c r="J478" s="1"/>
      <c r="K478" s="1"/>
      <c r="L478" s="1"/>
      <c r="M478" s="1"/>
      <c r="N478" s="1"/>
    </row>
    <row r="479" ht="27.75" customHeight="1">
      <c r="A479" s="1"/>
      <c r="B479" s="16"/>
      <c r="C479" s="17"/>
      <c r="D479" s="67"/>
      <c r="E479" s="72"/>
      <c r="F479" s="1"/>
      <c r="G479" s="1"/>
      <c r="H479" s="1"/>
      <c r="I479" s="1"/>
      <c r="J479" s="1"/>
      <c r="K479" s="1"/>
      <c r="L479" s="1"/>
      <c r="M479" s="1"/>
      <c r="N479" s="1"/>
    </row>
    <row r="480" ht="27.75" customHeight="1">
      <c r="A480" s="1"/>
      <c r="B480" s="16"/>
      <c r="C480" s="17"/>
      <c r="D480" s="67"/>
      <c r="E480" s="72"/>
      <c r="F480" s="1"/>
      <c r="G480" s="1"/>
      <c r="H480" s="1"/>
      <c r="I480" s="1"/>
      <c r="J480" s="1"/>
      <c r="K480" s="1"/>
      <c r="L480" s="1"/>
      <c r="M480" s="1"/>
      <c r="N480" s="1"/>
    </row>
    <row r="481" ht="27.75" customHeight="1">
      <c r="A481" s="1"/>
      <c r="B481" s="16"/>
      <c r="C481" s="17"/>
      <c r="D481" s="67"/>
      <c r="E481" s="72"/>
      <c r="F481" s="1"/>
      <c r="G481" s="1"/>
      <c r="H481" s="1"/>
      <c r="I481" s="1"/>
      <c r="J481" s="1"/>
      <c r="K481" s="1"/>
      <c r="L481" s="1"/>
      <c r="M481" s="1"/>
      <c r="N481" s="1"/>
    </row>
    <row r="482" ht="27.75" customHeight="1">
      <c r="A482" s="1"/>
      <c r="B482" s="16"/>
      <c r="C482" s="17"/>
      <c r="D482" s="67"/>
      <c r="E482" s="72"/>
      <c r="F482" s="1"/>
      <c r="G482" s="1"/>
      <c r="H482" s="1"/>
      <c r="I482" s="1"/>
      <c r="J482" s="1"/>
      <c r="K482" s="1"/>
      <c r="L482" s="1"/>
      <c r="M482" s="1"/>
      <c r="N482" s="1"/>
    </row>
    <row r="483" ht="27.75" customHeight="1">
      <c r="A483" s="1"/>
      <c r="B483" s="16"/>
      <c r="C483" s="17"/>
      <c r="D483" s="67"/>
      <c r="E483" s="72"/>
      <c r="F483" s="1"/>
      <c r="G483" s="1"/>
      <c r="H483" s="1"/>
      <c r="I483" s="1"/>
      <c r="J483" s="1"/>
      <c r="K483" s="1"/>
      <c r="L483" s="1"/>
      <c r="M483" s="1"/>
      <c r="N483" s="1"/>
    </row>
    <row r="484" ht="27.75" customHeight="1">
      <c r="A484" s="1"/>
      <c r="B484" s="16"/>
      <c r="C484" s="17"/>
      <c r="D484" s="67"/>
      <c r="E484" s="72"/>
      <c r="F484" s="1"/>
      <c r="G484" s="1"/>
      <c r="H484" s="1"/>
      <c r="I484" s="1"/>
      <c r="J484" s="1"/>
      <c r="K484" s="1"/>
      <c r="L484" s="1"/>
      <c r="M484" s="1"/>
      <c r="N484" s="1"/>
    </row>
    <row r="485" ht="27.75" customHeight="1">
      <c r="A485" s="1"/>
      <c r="B485" s="16"/>
      <c r="C485" s="17"/>
      <c r="D485" s="67"/>
      <c r="E485" s="72"/>
      <c r="F485" s="1"/>
      <c r="G485" s="1"/>
      <c r="H485" s="1"/>
      <c r="I485" s="1"/>
      <c r="J485" s="1"/>
      <c r="K485" s="1"/>
      <c r="L485" s="1"/>
      <c r="M485" s="1"/>
      <c r="N485" s="1"/>
    </row>
    <row r="486" ht="27.75" customHeight="1">
      <c r="A486" s="1"/>
      <c r="B486" s="16"/>
      <c r="C486" s="17"/>
      <c r="D486" s="67"/>
      <c r="E486" s="72"/>
      <c r="F486" s="1"/>
      <c r="G486" s="1"/>
      <c r="H486" s="1"/>
      <c r="I486" s="1"/>
      <c r="J486" s="1"/>
      <c r="K486" s="1"/>
      <c r="L486" s="1"/>
      <c r="M486" s="1"/>
      <c r="N486" s="1"/>
    </row>
    <row r="487" ht="27.75" customHeight="1">
      <c r="A487" s="1"/>
      <c r="B487" s="16"/>
      <c r="C487" s="17"/>
      <c r="D487" s="67"/>
      <c r="E487" s="72"/>
      <c r="F487" s="1"/>
      <c r="G487" s="1"/>
      <c r="H487" s="1"/>
      <c r="I487" s="1"/>
      <c r="J487" s="1"/>
      <c r="K487" s="1"/>
      <c r="L487" s="1"/>
      <c r="M487" s="1"/>
      <c r="N487" s="1"/>
    </row>
    <row r="488" ht="27.75" customHeight="1">
      <c r="A488" s="1"/>
      <c r="B488" s="16"/>
      <c r="C488" s="17"/>
      <c r="D488" s="67"/>
      <c r="E488" s="72"/>
      <c r="F488" s="1"/>
      <c r="G488" s="1"/>
      <c r="H488" s="1"/>
      <c r="I488" s="1"/>
      <c r="J488" s="1"/>
      <c r="K488" s="1"/>
      <c r="L488" s="1"/>
      <c r="M488" s="1"/>
      <c r="N488" s="1"/>
    </row>
    <row r="489" ht="27.75" customHeight="1">
      <c r="A489" s="1"/>
      <c r="B489" s="16"/>
      <c r="C489" s="17"/>
      <c r="D489" s="67"/>
      <c r="E489" s="72"/>
      <c r="F489" s="1"/>
      <c r="G489" s="1"/>
      <c r="H489" s="1"/>
      <c r="I489" s="1"/>
      <c r="J489" s="1"/>
      <c r="K489" s="1"/>
      <c r="L489" s="1"/>
      <c r="M489" s="1"/>
      <c r="N489" s="1"/>
    </row>
    <row r="490" ht="27.75" customHeight="1">
      <c r="A490" s="1"/>
      <c r="B490" s="16"/>
      <c r="C490" s="17"/>
      <c r="D490" s="67"/>
      <c r="E490" s="72"/>
      <c r="F490" s="1"/>
      <c r="G490" s="1"/>
      <c r="H490" s="1"/>
      <c r="I490" s="1"/>
      <c r="J490" s="1"/>
      <c r="K490" s="1"/>
      <c r="L490" s="1"/>
      <c r="M490" s="1"/>
      <c r="N490" s="1"/>
    </row>
    <row r="491" ht="27.75" customHeight="1">
      <c r="A491" s="1"/>
      <c r="B491" s="16"/>
      <c r="C491" s="17"/>
      <c r="D491" s="67"/>
      <c r="E491" s="72"/>
      <c r="F491" s="1"/>
      <c r="G491" s="1"/>
      <c r="H491" s="1"/>
      <c r="I491" s="1"/>
      <c r="J491" s="1"/>
      <c r="K491" s="1"/>
      <c r="L491" s="1"/>
      <c r="M491" s="1"/>
      <c r="N491" s="1"/>
    </row>
    <row r="492" ht="27.75" customHeight="1">
      <c r="A492" s="1"/>
      <c r="B492" s="16"/>
      <c r="C492" s="17"/>
      <c r="D492" s="67"/>
      <c r="E492" s="72"/>
      <c r="F492" s="1"/>
      <c r="G492" s="1"/>
      <c r="H492" s="1"/>
      <c r="I492" s="1"/>
      <c r="J492" s="1"/>
      <c r="K492" s="1"/>
      <c r="L492" s="1"/>
      <c r="M492" s="1"/>
      <c r="N492" s="1"/>
    </row>
    <row r="493" ht="27.75" customHeight="1">
      <c r="A493" s="1"/>
      <c r="B493" s="16"/>
      <c r="C493" s="17"/>
      <c r="D493" s="67"/>
      <c r="E493" s="72"/>
      <c r="F493" s="1"/>
      <c r="G493" s="1"/>
      <c r="H493" s="1"/>
      <c r="I493" s="1"/>
      <c r="J493" s="1"/>
      <c r="K493" s="1"/>
      <c r="L493" s="1"/>
      <c r="M493" s="1"/>
      <c r="N493" s="1"/>
    </row>
    <row r="494" ht="27.75" customHeight="1">
      <c r="A494" s="1"/>
      <c r="B494" s="16"/>
      <c r="C494" s="17"/>
      <c r="D494" s="67"/>
      <c r="E494" s="72"/>
      <c r="F494" s="1"/>
      <c r="G494" s="1"/>
      <c r="H494" s="1"/>
      <c r="I494" s="1"/>
      <c r="J494" s="1"/>
      <c r="K494" s="1"/>
      <c r="L494" s="1"/>
      <c r="M494" s="1"/>
      <c r="N494" s="1"/>
    </row>
    <row r="495" ht="27.75" customHeight="1">
      <c r="A495" s="1"/>
      <c r="B495" s="16"/>
      <c r="C495" s="17"/>
      <c r="D495" s="67"/>
      <c r="E495" s="72"/>
      <c r="F495" s="1"/>
      <c r="G495" s="1"/>
      <c r="H495" s="1"/>
      <c r="I495" s="1"/>
      <c r="J495" s="1"/>
      <c r="K495" s="1"/>
      <c r="L495" s="1"/>
      <c r="M495" s="1"/>
      <c r="N495" s="1"/>
    </row>
    <row r="496" ht="27.75" customHeight="1">
      <c r="A496" s="1"/>
      <c r="B496" s="16"/>
      <c r="C496" s="17"/>
      <c r="D496" s="67"/>
      <c r="E496" s="72"/>
      <c r="F496" s="1"/>
      <c r="G496" s="1"/>
      <c r="H496" s="1"/>
      <c r="I496" s="1"/>
      <c r="J496" s="1"/>
      <c r="K496" s="1"/>
      <c r="L496" s="1"/>
      <c r="M496" s="1"/>
      <c r="N496" s="1"/>
    </row>
    <row r="497" ht="27.75" customHeight="1">
      <c r="A497" s="1"/>
      <c r="B497" s="16"/>
      <c r="C497" s="17"/>
      <c r="D497" s="67"/>
      <c r="E497" s="72"/>
      <c r="F497" s="1"/>
      <c r="G497" s="1"/>
      <c r="H497" s="1"/>
      <c r="I497" s="1"/>
      <c r="J497" s="1"/>
      <c r="K497" s="1"/>
      <c r="L497" s="1"/>
      <c r="M497" s="1"/>
      <c r="N497" s="1"/>
    </row>
    <row r="498" ht="27.75" customHeight="1">
      <c r="A498" s="1"/>
      <c r="B498" s="16"/>
      <c r="C498" s="17"/>
      <c r="D498" s="67"/>
      <c r="E498" s="72"/>
      <c r="F498" s="1"/>
      <c r="G498" s="1"/>
      <c r="H498" s="1"/>
      <c r="I498" s="1"/>
      <c r="J498" s="1"/>
      <c r="K498" s="1"/>
      <c r="L498" s="1"/>
      <c r="M498" s="1"/>
      <c r="N498" s="1"/>
    </row>
    <row r="499" ht="27.75" customHeight="1">
      <c r="A499" s="1"/>
      <c r="B499" s="16"/>
      <c r="C499" s="17"/>
      <c r="D499" s="67"/>
      <c r="E499" s="72"/>
      <c r="F499" s="1"/>
      <c r="G499" s="1"/>
      <c r="H499" s="1"/>
      <c r="I499" s="1"/>
      <c r="J499" s="1"/>
      <c r="K499" s="1"/>
      <c r="L499" s="1"/>
      <c r="M499" s="1"/>
      <c r="N499" s="1"/>
    </row>
    <row r="500" ht="27.75" customHeight="1">
      <c r="A500" s="1"/>
      <c r="B500" s="16"/>
      <c r="C500" s="17"/>
      <c r="D500" s="67"/>
      <c r="E500" s="72"/>
      <c r="F500" s="1"/>
      <c r="G500" s="1"/>
      <c r="H500" s="1"/>
      <c r="I500" s="1"/>
      <c r="J500" s="1"/>
      <c r="K500" s="1"/>
      <c r="L500" s="1"/>
      <c r="M500" s="1"/>
      <c r="N500" s="1"/>
    </row>
    <row r="501" ht="27.75" customHeight="1">
      <c r="A501" s="1"/>
      <c r="B501" s="16"/>
      <c r="C501" s="17"/>
      <c r="D501" s="67"/>
      <c r="E501" s="72"/>
      <c r="F501" s="1"/>
      <c r="G501" s="1"/>
      <c r="H501" s="1"/>
      <c r="I501" s="1"/>
      <c r="J501" s="1"/>
      <c r="K501" s="1"/>
      <c r="L501" s="1"/>
      <c r="M501" s="1"/>
      <c r="N501" s="1"/>
    </row>
    <row r="502" ht="27.75" customHeight="1">
      <c r="A502" s="1"/>
      <c r="B502" s="16"/>
      <c r="C502" s="17"/>
      <c r="D502" s="67"/>
      <c r="E502" s="72"/>
      <c r="F502" s="1"/>
      <c r="G502" s="1"/>
      <c r="H502" s="1"/>
      <c r="I502" s="1"/>
      <c r="J502" s="1"/>
      <c r="K502" s="1"/>
      <c r="L502" s="1"/>
      <c r="M502" s="1"/>
      <c r="N502" s="1"/>
    </row>
    <row r="503" ht="27.75" customHeight="1">
      <c r="A503" s="1"/>
      <c r="B503" s="16"/>
      <c r="C503" s="17"/>
      <c r="D503" s="67"/>
      <c r="E503" s="72"/>
      <c r="F503" s="1"/>
      <c r="G503" s="1"/>
      <c r="H503" s="1"/>
      <c r="I503" s="1"/>
      <c r="J503" s="1"/>
      <c r="K503" s="1"/>
      <c r="L503" s="1"/>
      <c r="M503" s="1"/>
      <c r="N503" s="1"/>
    </row>
    <row r="504" ht="27.75" customHeight="1">
      <c r="A504" s="1"/>
      <c r="B504" s="16"/>
      <c r="C504" s="17"/>
      <c r="D504" s="67"/>
      <c r="E504" s="72"/>
      <c r="F504" s="1"/>
      <c r="G504" s="1"/>
      <c r="H504" s="1"/>
      <c r="I504" s="1"/>
      <c r="J504" s="1"/>
      <c r="K504" s="1"/>
      <c r="L504" s="1"/>
      <c r="M504" s="1"/>
      <c r="N504" s="1"/>
    </row>
    <row r="505" ht="27.75" customHeight="1">
      <c r="A505" s="1"/>
      <c r="B505" s="16"/>
      <c r="C505" s="17"/>
      <c r="D505" s="67"/>
      <c r="E505" s="72"/>
      <c r="F505" s="1"/>
      <c r="G505" s="1"/>
      <c r="H505" s="1"/>
      <c r="I505" s="1"/>
      <c r="J505" s="1"/>
      <c r="K505" s="1"/>
      <c r="L505" s="1"/>
      <c r="M505" s="1"/>
      <c r="N505" s="1"/>
    </row>
    <row r="506" ht="27.75" customHeight="1">
      <c r="A506" s="1"/>
      <c r="B506" s="16"/>
      <c r="C506" s="17"/>
      <c r="D506" s="67"/>
      <c r="E506" s="72"/>
      <c r="F506" s="1"/>
      <c r="G506" s="1"/>
      <c r="H506" s="1"/>
      <c r="I506" s="1"/>
      <c r="J506" s="1"/>
      <c r="K506" s="1"/>
      <c r="L506" s="1"/>
      <c r="M506" s="1"/>
      <c r="N506" s="1"/>
    </row>
    <row r="507" ht="27.75" customHeight="1">
      <c r="A507" s="1"/>
      <c r="B507" s="16"/>
      <c r="C507" s="17"/>
      <c r="D507" s="67"/>
      <c r="E507" s="72"/>
      <c r="F507" s="1"/>
      <c r="G507" s="1"/>
      <c r="H507" s="1"/>
      <c r="I507" s="1"/>
      <c r="J507" s="1"/>
      <c r="K507" s="1"/>
      <c r="L507" s="1"/>
      <c r="M507" s="1"/>
      <c r="N507" s="1"/>
    </row>
    <row r="508" ht="27.75" customHeight="1">
      <c r="A508" s="1"/>
      <c r="B508" s="16"/>
      <c r="C508" s="17"/>
      <c r="D508" s="67"/>
      <c r="E508" s="72"/>
      <c r="F508" s="1"/>
      <c r="G508" s="1"/>
      <c r="H508" s="1"/>
      <c r="I508" s="1"/>
      <c r="J508" s="1"/>
      <c r="K508" s="1"/>
      <c r="L508" s="1"/>
      <c r="M508" s="1"/>
      <c r="N508" s="1"/>
    </row>
    <row r="509" ht="27.75" customHeight="1">
      <c r="A509" s="1"/>
      <c r="B509" s="16"/>
      <c r="C509" s="17"/>
      <c r="D509" s="67"/>
      <c r="E509" s="72"/>
      <c r="F509" s="1"/>
      <c r="G509" s="1"/>
      <c r="H509" s="1"/>
      <c r="I509" s="1"/>
      <c r="J509" s="1"/>
      <c r="K509" s="1"/>
      <c r="L509" s="1"/>
      <c r="M509" s="1"/>
      <c r="N509" s="1"/>
    </row>
    <row r="510" ht="27.75" customHeight="1">
      <c r="A510" s="1"/>
      <c r="B510" s="16"/>
      <c r="C510" s="17"/>
      <c r="D510" s="67"/>
      <c r="E510" s="72"/>
      <c r="F510" s="1"/>
      <c r="G510" s="1"/>
      <c r="H510" s="1"/>
      <c r="I510" s="1"/>
      <c r="J510" s="1"/>
      <c r="K510" s="1"/>
      <c r="L510" s="1"/>
      <c r="M510" s="1"/>
      <c r="N510" s="1"/>
    </row>
    <row r="511" ht="27.75" customHeight="1">
      <c r="A511" s="1"/>
      <c r="B511" s="16"/>
      <c r="C511" s="17"/>
      <c r="D511" s="67"/>
      <c r="E511" s="72"/>
      <c r="F511" s="1"/>
      <c r="G511" s="1"/>
      <c r="H511" s="1"/>
      <c r="I511" s="1"/>
      <c r="J511" s="1"/>
      <c r="K511" s="1"/>
      <c r="L511" s="1"/>
      <c r="M511" s="1"/>
      <c r="N511" s="1"/>
    </row>
    <row r="512" ht="27.75" customHeight="1">
      <c r="A512" s="1"/>
      <c r="B512" s="16"/>
      <c r="C512" s="17"/>
      <c r="D512" s="67"/>
      <c r="E512" s="72"/>
      <c r="F512" s="1"/>
      <c r="G512" s="1"/>
      <c r="H512" s="1"/>
      <c r="I512" s="1"/>
      <c r="J512" s="1"/>
      <c r="K512" s="1"/>
      <c r="L512" s="1"/>
      <c r="M512" s="1"/>
      <c r="N512" s="1"/>
    </row>
    <row r="513" ht="27.75" customHeight="1">
      <c r="A513" s="1"/>
      <c r="B513" s="16"/>
      <c r="C513" s="17"/>
      <c r="D513" s="67"/>
      <c r="E513" s="72"/>
      <c r="F513" s="1"/>
      <c r="G513" s="1"/>
      <c r="H513" s="1"/>
      <c r="I513" s="1"/>
      <c r="J513" s="1"/>
      <c r="K513" s="1"/>
      <c r="L513" s="1"/>
      <c r="M513" s="1"/>
      <c r="N513" s="1"/>
    </row>
    <row r="514" ht="27.75" customHeight="1">
      <c r="A514" s="1"/>
      <c r="B514" s="16"/>
      <c r="C514" s="17"/>
      <c r="D514" s="67"/>
      <c r="E514" s="72"/>
      <c r="F514" s="1"/>
      <c r="G514" s="1"/>
      <c r="H514" s="1"/>
      <c r="I514" s="1"/>
      <c r="J514" s="1"/>
      <c r="K514" s="1"/>
      <c r="L514" s="1"/>
      <c r="M514" s="1"/>
      <c r="N514" s="1"/>
    </row>
    <row r="515" ht="27.75" customHeight="1">
      <c r="A515" s="1"/>
      <c r="B515" s="16"/>
      <c r="C515" s="17"/>
      <c r="D515" s="67"/>
      <c r="E515" s="72"/>
      <c r="F515" s="1"/>
      <c r="G515" s="1"/>
      <c r="H515" s="1"/>
      <c r="I515" s="1"/>
      <c r="J515" s="1"/>
      <c r="K515" s="1"/>
      <c r="L515" s="1"/>
      <c r="M515" s="1"/>
      <c r="N515" s="1"/>
    </row>
    <row r="516" ht="27.75" customHeight="1">
      <c r="A516" s="1"/>
      <c r="B516" s="16"/>
      <c r="C516" s="17"/>
      <c r="D516" s="67"/>
      <c r="E516" s="72"/>
      <c r="F516" s="1"/>
      <c r="G516" s="1"/>
      <c r="H516" s="1"/>
      <c r="I516" s="1"/>
      <c r="J516" s="1"/>
      <c r="K516" s="1"/>
      <c r="L516" s="1"/>
      <c r="M516" s="1"/>
      <c r="N516" s="1"/>
    </row>
    <row r="517" ht="27.75" customHeight="1">
      <c r="A517" s="1"/>
      <c r="B517" s="16"/>
      <c r="C517" s="17"/>
      <c r="D517" s="67"/>
      <c r="E517" s="72"/>
      <c r="F517" s="1"/>
      <c r="G517" s="1"/>
      <c r="H517" s="1"/>
      <c r="I517" s="1"/>
      <c r="J517" s="1"/>
      <c r="K517" s="1"/>
      <c r="L517" s="1"/>
      <c r="M517" s="1"/>
      <c r="N517" s="1"/>
    </row>
    <row r="518" ht="27.75" customHeight="1">
      <c r="A518" s="1"/>
      <c r="B518" s="16"/>
      <c r="C518" s="17"/>
      <c r="D518" s="67"/>
      <c r="E518" s="72"/>
      <c r="F518" s="1"/>
      <c r="G518" s="1"/>
      <c r="H518" s="1"/>
      <c r="I518" s="1"/>
      <c r="J518" s="1"/>
      <c r="K518" s="1"/>
      <c r="L518" s="1"/>
      <c r="M518" s="1"/>
      <c r="N518" s="1"/>
    </row>
    <row r="519" ht="27.75" customHeight="1">
      <c r="A519" s="1"/>
      <c r="B519" s="16"/>
      <c r="C519" s="17"/>
      <c r="D519" s="67"/>
      <c r="E519" s="72"/>
      <c r="F519" s="1"/>
      <c r="G519" s="1"/>
      <c r="H519" s="1"/>
      <c r="I519" s="1"/>
      <c r="J519" s="1"/>
      <c r="K519" s="1"/>
      <c r="L519" s="1"/>
      <c r="M519" s="1"/>
      <c r="N519" s="1"/>
    </row>
    <row r="520" ht="27.75" customHeight="1">
      <c r="A520" s="1"/>
      <c r="B520" s="16"/>
      <c r="C520" s="17"/>
      <c r="D520" s="67"/>
      <c r="E520" s="72"/>
      <c r="F520" s="1"/>
      <c r="G520" s="1"/>
      <c r="H520" s="1"/>
      <c r="I520" s="1"/>
      <c r="J520" s="1"/>
      <c r="K520" s="1"/>
      <c r="L520" s="1"/>
      <c r="M520" s="1"/>
      <c r="N520" s="1"/>
    </row>
    <row r="521" ht="27.75" customHeight="1">
      <c r="A521" s="1"/>
      <c r="B521" s="16"/>
      <c r="C521" s="17"/>
      <c r="D521" s="67"/>
      <c r="E521" s="72"/>
      <c r="F521" s="1"/>
      <c r="G521" s="1"/>
      <c r="H521" s="1"/>
      <c r="I521" s="1"/>
      <c r="J521" s="1"/>
      <c r="K521" s="1"/>
      <c r="L521" s="1"/>
      <c r="M521" s="1"/>
      <c r="N521" s="1"/>
    </row>
    <row r="522" ht="27.75" customHeight="1">
      <c r="A522" s="1"/>
      <c r="B522" s="16"/>
      <c r="C522" s="17"/>
      <c r="D522" s="67"/>
      <c r="E522" s="72"/>
      <c r="F522" s="1"/>
      <c r="G522" s="1"/>
      <c r="H522" s="1"/>
      <c r="I522" s="1"/>
      <c r="J522" s="1"/>
      <c r="K522" s="1"/>
      <c r="L522" s="1"/>
      <c r="M522" s="1"/>
      <c r="N522" s="1"/>
    </row>
    <row r="523" ht="27.75" customHeight="1">
      <c r="A523" s="1"/>
      <c r="B523" s="16"/>
      <c r="C523" s="17"/>
      <c r="D523" s="67"/>
      <c r="E523" s="72"/>
      <c r="F523" s="1"/>
      <c r="G523" s="1"/>
      <c r="H523" s="1"/>
      <c r="I523" s="1"/>
      <c r="J523" s="1"/>
      <c r="K523" s="1"/>
      <c r="L523" s="1"/>
      <c r="M523" s="1"/>
      <c r="N523" s="1"/>
    </row>
    <row r="524" ht="27.75" customHeight="1">
      <c r="A524" s="1"/>
      <c r="B524" s="16"/>
      <c r="C524" s="17"/>
      <c r="D524" s="67"/>
      <c r="E524" s="72"/>
      <c r="F524" s="1"/>
      <c r="G524" s="1"/>
      <c r="H524" s="1"/>
      <c r="I524" s="1"/>
      <c r="J524" s="1"/>
      <c r="K524" s="1"/>
      <c r="L524" s="1"/>
      <c r="M524" s="1"/>
      <c r="N524" s="1"/>
    </row>
    <row r="525" ht="27.75" customHeight="1">
      <c r="A525" s="1"/>
      <c r="B525" s="16"/>
      <c r="C525" s="17"/>
      <c r="D525" s="67"/>
      <c r="E525" s="72"/>
      <c r="F525" s="1"/>
      <c r="G525" s="1"/>
      <c r="H525" s="1"/>
      <c r="I525" s="1"/>
      <c r="J525" s="1"/>
      <c r="K525" s="1"/>
      <c r="L525" s="1"/>
      <c r="M525" s="1"/>
      <c r="N525" s="1"/>
    </row>
    <row r="526" ht="27.75" customHeight="1">
      <c r="A526" s="1"/>
      <c r="B526" s="16"/>
      <c r="C526" s="17"/>
      <c r="D526" s="67"/>
      <c r="E526" s="72"/>
      <c r="F526" s="1"/>
      <c r="G526" s="1"/>
      <c r="H526" s="1"/>
      <c r="I526" s="1"/>
      <c r="J526" s="1"/>
      <c r="K526" s="1"/>
      <c r="L526" s="1"/>
      <c r="M526" s="1"/>
      <c r="N526" s="1"/>
    </row>
    <row r="527" ht="27.75" customHeight="1">
      <c r="A527" s="1"/>
      <c r="B527" s="16"/>
      <c r="C527" s="17"/>
      <c r="D527" s="67"/>
      <c r="E527" s="72"/>
      <c r="F527" s="1"/>
      <c r="G527" s="1"/>
      <c r="H527" s="1"/>
      <c r="I527" s="1"/>
      <c r="J527" s="1"/>
      <c r="K527" s="1"/>
      <c r="L527" s="1"/>
      <c r="M527" s="1"/>
      <c r="N527" s="1"/>
    </row>
    <row r="528" ht="27.75" customHeight="1">
      <c r="A528" s="1"/>
      <c r="B528" s="16"/>
      <c r="C528" s="17"/>
      <c r="D528" s="67"/>
      <c r="E528" s="72"/>
      <c r="F528" s="1"/>
      <c r="G528" s="1"/>
      <c r="H528" s="1"/>
      <c r="I528" s="1"/>
      <c r="J528" s="1"/>
      <c r="K528" s="1"/>
      <c r="L528" s="1"/>
      <c r="M528" s="1"/>
      <c r="N528" s="1"/>
    </row>
    <row r="529" ht="27.75" customHeight="1">
      <c r="A529" s="1"/>
      <c r="B529" s="16"/>
      <c r="C529" s="17"/>
      <c r="D529" s="67"/>
      <c r="E529" s="72"/>
      <c r="F529" s="1"/>
      <c r="G529" s="1"/>
      <c r="H529" s="1"/>
      <c r="I529" s="1"/>
      <c r="J529" s="1"/>
      <c r="K529" s="1"/>
      <c r="L529" s="1"/>
      <c r="M529" s="1"/>
      <c r="N529" s="1"/>
    </row>
    <row r="530" ht="27.75" customHeight="1">
      <c r="A530" s="1"/>
      <c r="B530" s="16"/>
      <c r="C530" s="17"/>
      <c r="D530" s="67"/>
      <c r="E530" s="72"/>
      <c r="F530" s="1"/>
      <c r="G530" s="1"/>
      <c r="H530" s="1"/>
      <c r="I530" s="1"/>
      <c r="J530" s="1"/>
      <c r="K530" s="1"/>
      <c r="L530" s="1"/>
      <c r="M530" s="1"/>
      <c r="N530" s="1"/>
    </row>
    <row r="531" ht="27.75" customHeight="1">
      <c r="A531" s="1"/>
      <c r="B531" s="16"/>
      <c r="C531" s="17"/>
      <c r="D531" s="67"/>
      <c r="E531" s="72"/>
      <c r="F531" s="1"/>
      <c r="G531" s="1"/>
      <c r="H531" s="1"/>
      <c r="I531" s="1"/>
      <c r="J531" s="1"/>
      <c r="K531" s="1"/>
      <c r="L531" s="1"/>
      <c r="M531" s="1"/>
      <c r="N531" s="1"/>
    </row>
    <row r="532" ht="27.75" customHeight="1">
      <c r="A532" s="1"/>
      <c r="B532" s="16"/>
      <c r="C532" s="17"/>
      <c r="D532" s="67"/>
      <c r="E532" s="72"/>
      <c r="F532" s="1"/>
      <c r="G532" s="1"/>
      <c r="H532" s="1"/>
      <c r="I532" s="1"/>
      <c r="J532" s="1"/>
      <c r="K532" s="1"/>
      <c r="L532" s="1"/>
      <c r="M532" s="1"/>
      <c r="N532" s="1"/>
    </row>
    <row r="533" ht="27.75" customHeight="1">
      <c r="A533" s="1"/>
      <c r="B533" s="16"/>
      <c r="C533" s="17"/>
      <c r="D533" s="67"/>
      <c r="E533" s="72"/>
      <c r="F533" s="1"/>
      <c r="G533" s="1"/>
      <c r="H533" s="1"/>
      <c r="I533" s="1"/>
      <c r="J533" s="1"/>
      <c r="K533" s="1"/>
      <c r="L533" s="1"/>
      <c r="M533" s="1"/>
      <c r="N533" s="1"/>
    </row>
    <row r="534" ht="27.75" customHeight="1">
      <c r="A534" s="1"/>
      <c r="B534" s="16"/>
      <c r="C534" s="17"/>
      <c r="D534" s="67"/>
      <c r="E534" s="72"/>
      <c r="F534" s="1"/>
      <c r="G534" s="1"/>
      <c r="H534" s="1"/>
      <c r="I534" s="1"/>
      <c r="J534" s="1"/>
      <c r="K534" s="1"/>
      <c r="L534" s="1"/>
      <c r="M534" s="1"/>
      <c r="N534" s="1"/>
    </row>
    <row r="535" ht="27.75" customHeight="1">
      <c r="A535" s="1"/>
      <c r="B535" s="16"/>
      <c r="C535" s="17"/>
      <c r="D535" s="67"/>
      <c r="E535" s="72"/>
      <c r="F535" s="1"/>
      <c r="G535" s="1"/>
      <c r="H535" s="1"/>
      <c r="I535" s="1"/>
      <c r="J535" s="1"/>
      <c r="K535" s="1"/>
      <c r="L535" s="1"/>
      <c r="M535" s="1"/>
      <c r="N535" s="1"/>
    </row>
    <row r="536" ht="27.75" customHeight="1">
      <c r="A536" s="1"/>
      <c r="B536" s="16"/>
      <c r="C536" s="17"/>
      <c r="D536" s="67"/>
      <c r="E536" s="72"/>
      <c r="F536" s="1"/>
      <c r="G536" s="1"/>
      <c r="H536" s="1"/>
      <c r="I536" s="1"/>
      <c r="J536" s="1"/>
      <c r="K536" s="1"/>
      <c r="L536" s="1"/>
      <c r="M536" s="1"/>
      <c r="N536" s="1"/>
    </row>
    <row r="537" ht="27.75" customHeight="1">
      <c r="A537" s="1"/>
      <c r="B537" s="16"/>
      <c r="C537" s="17"/>
      <c r="D537" s="67"/>
      <c r="E537" s="72"/>
      <c r="F537" s="1"/>
      <c r="G537" s="1"/>
      <c r="H537" s="1"/>
      <c r="I537" s="1"/>
      <c r="J537" s="1"/>
      <c r="K537" s="1"/>
      <c r="L537" s="1"/>
      <c r="M537" s="1"/>
      <c r="N537" s="1"/>
    </row>
    <row r="538" ht="27.75" customHeight="1">
      <c r="A538" s="1"/>
      <c r="B538" s="16"/>
      <c r="C538" s="17"/>
      <c r="D538" s="67"/>
      <c r="E538" s="72"/>
      <c r="F538" s="1"/>
      <c r="G538" s="1"/>
      <c r="H538" s="1"/>
      <c r="I538" s="1"/>
      <c r="J538" s="1"/>
      <c r="K538" s="1"/>
      <c r="L538" s="1"/>
      <c r="M538" s="1"/>
      <c r="N538" s="1"/>
    </row>
    <row r="539" ht="27.75" customHeight="1">
      <c r="A539" s="1"/>
      <c r="B539" s="16"/>
      <c r="C539" s="17"/>
      <c r="D539" s="67"/>
      <c r="E539" s="72"/>
      <c r="F539" s="1"/>
      <c r="G539" s="1"/>
      <c r="H539" s="1"/>
      <c r="I539" s="1"/>
      <c r="J539" s="1"/>
      <c r="K539" s="1"/>
      <c r="L539" s="1"/>
      <c r="M539" s="1"/>
      <c r="N539" s="1"/>
    </row>
    <row r="540" ht="27.75" customHeight="1">
      <c r="A540" s="1"/>
      <c r="B540" s="16"/>
      <c r="C540" s="17"/>
      <c r="D540" s="67"/>
      <c r="E540" s="72"/>
      <c r="F540" s="1"/>
      <c r="G540" s="1"/>
      <c r="H540" s="1"/>
      <c r="I540" s="1"/>
      <c r="J540" s="1"/>
      <c r="K540" s="1"/>
      <c r="L540" s="1"/>
      <c r="M540" s="1"/>
      <c r="N540" s="1"/>
    </row>
    <row r="541" ht="27.75" customHeight="1">
      <c r="A541" s="1"/>
      <c r="B541" s="16"/>
      <c r="C541" s="17"/>
      <c r="D541" s="67"/>
      <c r="E541" s="72"/>
      <c r="F541" s="1"/>
      <c r="G541" s="1"/>
      <c r="H541" s="1"/>
      <c r="I541" s="1"/>
      <c r="J541" s="1"/>
      <c r="K541" s="1"/>
      <c r="L541" s="1"/>
      <c r="M541" s="1"/>
      <c r="N541" s="1"/>
    </row>
    <row r="542" ht="27.75" customHeight="1">
      <c r="A542" s="1"/>
      <c r="B542" s="16"/>
      <c r="C542" s="17"/>
      <c r="D542" s="67"/>
      <c r="E542" s="72"/>
      <c r="F542" s="1"/>
      <c r="G542" s="1"/>
      <c r="H542" s="1"/>
      <c r="I542" s="1"/>
      <c r="J542" s="1"/>
      <c r="K542" s="1"/>
      <c r="L542" s="1"/>
      <c r="M542" s="1"/>
      <c r="N542" s="1"/>
    </row>
    <row r="543" ht="27.75" customHeight="1">
      <c r="A543" s="1"/>
      <c r="B543" s="16"/>
      <c r="C543" s="17"/>
      <c r="D543" s="67"/>
      <c r="E543" s="72"/>
      <c r="F543" s="1"/>
      <c r="G543" s="1"/>
      <c r="H543" s="1"/>
      <c r="I543" s="1"/>
      <c r="J543" s="1"/>
      <c r="K543" s="1"/>
      <c r="L543" s="1"/>
      <c r="M543" s="1"/>
      <c r="N543" s="1"/>
    </row>
    <row r="544" ht="27.75" customHeight="1">
      <c r="A544" s="1"/>
      <c r="B544" s="16"/>
      <c r="C544" s="17"/>
      <c r="D544" s="67"/>
      <c r="E544" s="72"/>
      <c r="F544" s="1"/>
      <c r="G544" s="1"/>
      <c r="H544" s="1"/>
      <c r="I544" s="1"/>
      <c r="J544" s="1"/>
      <c r="K544" s="1"/>
      <c r="L544" s="1"/>
      <c r="M544" s="1"/>
      <c r="N544" s="1"/>
    </row>
    <row r="545" ht="27.75" customHeight="1">
      <c r="A545" s="1"/>
      <c r="B545" s="16"/>
      <c r="C545" s="17"/>
      <c r="D545" s="67"/>
      <c r="E545" s="72"/>
      <c r="F545" s="1"/>
      <c r="G545" s="1"/>
      <c r="H545" s="1"/>
      <c r="I545" s="1"/>
      <c r="J545" s="1"/>
      <c r="K545" s="1"/>
      <c r="L545" s="1"/>
      <c r="M545" s="1"/>
      <c r="N545" s="1"/>
    </row>
    <row r="546" ht="27.75" customHeight="1">
      <c r="A546" s="1"/>
      <c r="B546" s="16"/>
      <c r="C546" s="17"/>
      <c r="D546" s="67"/>
      <c r="E546" s="72"/>
      <c r="F546" s="1"/>
      <c r="G546" s="1"/>
      <c r="H546" s="1"/>
      <c r="I546" s="1"/>
      <c r="J546" s="1"/>
      <c r="K546" s="1"/>
      <c r="L546" s="1"/>
      <c r="M546" s="1"/>
      <c r="N546" s="1"/>
    </row>
    <row r="547" ht="27.75" customHeight="1">
      <c r="A547" s="1"/>
      <c r="B547" s="16"/>
      <c r="C547" s="17"/>
      <c r="D547" s="67"/>
      <c r="E547" s="72"/>
      <c r="F547" s="1"/>
      <c r="G547" s="1"/>
      <c r="H547" s="1"/>
      <c r="I547" s="1"/>
      <c r="J547" s="1"/>
      <c r="K547" s="1"/>
      <c r="L547" s="1"/>
      <c r="M547" s="1"/>
      <c r="N547" s="1"/>
    </row>
    <row r="548" ht="27.75" customHeight="1">
      <c r="A548" s="1"/>
      <c r="B548" s="16"/>
      <c r="C548" s="17"/>
      <c r="D548" s="67"/>
      <c r="E548" s="72"/>
      <c r="F548" s="1"/>
      <c r="G548" s="1"/>
      <c r="H548" s="1"/>
      <c r="I548" s="1"/>
      <c r="J548" s="1"/>
      <c r="K548" s="1"/>
      <c r="L548" s="1"/>
      <c r="M548" s="1"/>
      <c r="N548" s="1"/>
    </row>
    <row r="549" ht="27.75" customHeight="1">
      <c r="A549" s="1"/>
      <c r="B549" s="16"/>
      <c r="C549" s="17"/>
      <c r="D549" s="67"/>
      <c r="E549" s="72"/>
      <c r="F549" s="1"/>
      <c r="G549" s="1"/>
      <c r="H549" s="1"/>
      <c r="I549" s="1"/>
      <c r="J549" s="1"/>
      <c r="K549" s="1"/>
      <c r="L549" s="1"/>
      <c r="M549" s="1"/>
      <c r="N549" s="1"/>
    </row>
    <row r="550" ht="27.75" customHeight="1">
      <c r="A550" s="1"/>
      <c r="B550" s="16"/>
      <c r="C550" s="17"/>
      <c r="D550" s="67"/>
      <c r="E550" s="72"/>
      <c r="F550" s="1"/>
      <c r="G550" s="1"/>
      <c r="H550" s="1"/>
      <c r="I550" s="1"/>
      <c r="J550" s="1"/>
      <c r="K550" s="1"/>
      <c r="L550" s="1"/>
      <c r="M550" s="1"/>
      <c r="N550" s="1"/>
    </row>
    <row r="551" ht="27.75" customHeight="1">
      <c r="A551" s="1"/>
      <c r="B551" s="16"/>
      <c r="C551" s="17"/>
      <c r="D551" s="67"/>
      <c r="E551" s="72"/>
      <c r="F551" s="1"/>
      <c r="G551" s="1"/>
      <c r="H551" s="1"/>
      <c r="I551" s="1"/>
      <c r="J551" s="1"/>
      <c r="K551" s="1"/>
      <c r="L551" s="1"/>
      <c r="M551" s="1"/>
      <c r="N551" s="1"/>
    </row>
    <row r="552" ht="27.75" customHeight="1">
      <c r="A552" s="1"/>
      <c r="B552" s="16"/>
      <c r="C552" s="17"/>
      <c r="D552" s="67"/>
      <c r="E552" s="72"/>
      <c r="F552" s="1"/>
      <c r="G552" s="1"/>
      <c r="H552" s="1"/>
      <c r="I552" s="1"/>
      <c r="J552" s="1"/>
      <c r="K552" s="1"/>
      <c r="L552" s="1"/>
      <c r="M552" s="1"/>
      <c r="N552" s="1"/>
    </row>
    <row r="553" ht="27.75" customHeight="1">
      <c r="A553" s="1"/>
      <c r="B553" s="16"/>
      <c r="C553" s="17"/>
      <c r="D553" s="67"/>
      <c r="E553" s="72"/>
      <c r="F553" s="1"/>
      <c r="G553" s="1"/>
      <c r="H553" s="1"/>
      <c r="I553" s="1"/>
      <c r="J553" s="1"/>
      <c r="K553" s="1"/>
      <c r="L553" s="1"/>
      <c r="M553" s="1"/>
      <c r="N553" s="1"/>
    </row>
    <row r="554" ht="27.75" customHeight="1">
      <c r="A554" s="1"/>
      <c r="B554" s="16"/>
      <c r="C554" s="17"/>
      <c r="D554" s="67"/>
      <c r="E554" s="72"/>
      <c r="F554" s="1"/>
      <c r="G554" s="1"/>
      <c r="H554" s="1"/>
      <c r="I554" s="1"/>
      <c r="J554" s="1"/>
      <c r="K554" s="1"/>
      <c r="L554" s="1"/>
      <c r="M554" s="1"/>
      <c r="N554" s="1"/>
    </row>
    <row r="555" ht="27.75" customHeight="1">
      <c r="A555" s="1"/>
      <c r="B555" s="16"/>
      <c r="C555" s="17"/>
      <c r="D555" s="67"/>
      <c r="E555" s="72"/>
      <c r="F555" s="1"/>
      <c r="G555" s="1"/>
      <c r="H555" s="1"/>
      <c r="I555" s="1"/>
      <c r="J555" s="1"/>
      <c r="K555" s="1"/>
      <c r="L555" s="1"/>
      <c r="M555" s="1"/>
      <c r="N555" s="1"/>
    </row>
    <row r="556" ht="27.75" customHeight="1">
      <c r="A556" s="1"/>
      <c r="B556" s="16"/>
      <c r="C556" s="17"/>
      <c r="D556" s="67"/>
      <c r="E556" s="72"/>
      <c r="F556" s="1"/>
      <c r="G556" s="1"/>
      <c r="H556" s="1"/>
      <c r="I556" s="1"/>
      <c r="J556" s="1"/>
      <c r="K556" s="1"/>
      <c r="L556" s="1"/>
      <c r="M556" s="1"/>
      <c r="N556" s="1"/>
    </row>
    <row r="557" ht="27.75" customHeight="1">
      <c r="A557" s="1"/>
      <c r="B557" s="16"/>
      <c r="C557" s="17"/>
      <c r="D557" s="67"/>
      <c r="E557" s="72"/>
      <c r="F557" s="1"/>
      <c r="G557" s="1"/>
      <c r="H557" s="1"/>
      <c r="I557" s="1"/>
      <c r="J557" s="1"/>
      <c r="K557" s="1"/>
      <c r="L557" s="1"/>
      <c r="M557" s="1"/>
      <c r="N557" s="1"/>
    </row>
    <row r="558" ht="27.75" customHeight="1">
      <c r="A558" s="1"/>
      <c r="B558" s="16"/>
      <c r="C558" s="17"/>
      <c r="D558" s="67"/>
      <c r="E558" s="72"/>
      <c r="F558" s="1"/>
      <c r="G558" s="1"/>
      <c r="H558" s="1"/>
      <c r="I558" s="1"/>
      <c r="J558" s="1"/>
      <c r="K558" s="1"/>
      <c r="L558" s="1"/>
      <c r="M558" s="1"/>
      <c r="N558" s="1"/>
    </row>
    <row r="559" ht="27.75" customHeight="1">
      <c r="A559" s="1"/>
      <c r="B559" s="16"/>
      <c r="C559" s="17"/>
      <c r="D559" s="67"/>
      <c r="E559" s="72"/>
      <c r="F559" s="1"/>
      <c r="G559" s="1"/>
      <c r="H559" s="1"/>
      <c r="I559" s="1"/>
      <c r="J559" s="1"/>
      <c r="K559" s="1"/>
      <c r="L559" s="1"/>
      <c r="M559" s="1"/>
      <c r="N559" s="1"/>
    </row>
    <row r="560" ht="27.75" customHeight="1">
      <c r="A560" s="1"/>
      <c r="B560" s="16"/>
      <c r="C560" s="17"/>
      <c r="D560" s="67"/>
      <c r="E560" s="72"/>
      <c r="F560" s="1"/>
      <c r="G560" s="1"/>
      <c r="H560" s="1"/>
      <c r="I560" s="1"/>
      <c r="J560" s="1"/>
      <c r="K560" s="1"/>
      <c r="L560" s="1"/>
      <c r="M560" s="1"/>
      <c r="N560" s="1"/>
    </row>
    <row r="561" ht="27.75" customHeight="1">
      <c r="A561" s="1"/>
      <c r="B561" s="16"/>
      <c r="C561" s="17"/>
      <c r="D561" s="67"/>
      <c r="E561" s="72"/>
      <c r="F561" s="1"/>
      <c r="G561" s="1"/>
      <c r="H561" s="1"/>
      <c r="I561" s="1"/>
      <c r="J561" s="1"/>
      <c r="K561" s="1"/>
      <c r="L561" s="1"/>
      <c r="M561" s="1"/>
      <c r="N561" s="1"/>
    </row>
    <row r="562" ht="27.75" customHeight="1">
      <c r="A562" s="1"/>
      <c r="B562" s="16"/>
      <c r="C562" s="17"/>
      <c r="D562" s="67"/>
      <c r="E562" s="72"/>
      <c r="F562" s="1"/>
      <c r="G562" s="1"/>
      <c r="H562" s="1"/>
      <c r="I562" s="1"/>
      <c r="J562" s="1"/>
      <c r="K562" s="1"/>
      <c r="L562" s="1"/>
      <c r="M562" s="1"/>
      <c r="N562" s="1"/>
    </row>
    <row r="563" ht="27.75" customHeight="1">
      <c r="A563" s="1"/>
      <c r="B563" s="16"/>
      <c r="C563" s="17"/>
      <c r="D563" s="67"/>
      <c r="E563" s="72"/>
      <c r="F563" s="1"/>
      <c r="G563" s="1"/>
      <c r="H563" s="1"/>
      <c r="I563" s="1"/>
      <c r="J563" s="1"/>
      <c r="K563" s="1"/>
      <c r="L563" s="1"/>
      <c r="M563" s="1"/>
      <c r="N563" s="1"/>
    </row>
    <row r="564" ht="27.75" customHeight="1">
      <c r="A564" s="1"/>
      <c r="B564" s="16"/>
      <c r="C564" s="17"/>
      <c r="D564" s="67"/>
      <c r="E564" s="72"/>
      <c r="F564" s="1"/>
      <c r="G564" s="1"/>
      <c r="H564" s="1"/>
      <c r="I564" s="1"/>
      <c r="J564" s="1"/>
      <c r="K564" s="1"/>
      <c r="L564" s="1"/>
      <c r="M564" s="1"/>
      <c r="N564" s="1"/>
    </row>
    <row r="565" ht="27.75" customHeight="1">
      <c r="A565" s="1"/>
      <c r="B565" s="16"/>
      <c r="C565" s="17"/>
      <c r="D565" s="67"/>
      <c r="E565" s="72"/>
      <c r="F565" s="1"/>
      <c r="G565" s="1"/>
      <c r="H565" s="1"/>
      <c r="I565" s="1"/>
      <c r="J565" s="1"/>
      <c r="K565" s="1"/>
      <c r="L565" s="1"/>
      <c r="M565" s="1"/>
      <c r="N565" s="1"/>
    </row>
    <row r="566" ht="27.75" customHeight="1">
      <c r="A566" s="1"/>
      <c r="B566" s="16"/>
      <c r="C566" s="17"/>
      <c r="D566" s="67"/>
      <c r="E566" s="72"/>
      <c r="F566" s="1"/>
      <c r="G566" s="1"/>
      <c r="H566" s="1"/>
      <c r="I566" s="1"/>
      <c r="J566" s="1"/>
      <c r="K566" s="1"/>
      <c r="L566" s="1"/>
      <c r="M566" s="1"/>
      <c r="N566" s="1"/>
    </row>
    <row r="567" ht="27.75" customHeight="1">
      <c r="A567" s="1"/>
      <c r="B567" s="16"/>
      <c r="C567" s="17"/>
      <c r="D567" s="67"/>
      <c r="E567" s="72"/>
      <c r="F567" s="1"/>
      <c r="G567" s="1"/>
      <c r="H567" s="1"/>
      <c r="I567" s="1"/>
      <c r="J567" s="1"/>
      <c r="K567" s="1"/>
      <c r="L567" s="1"/>
      <c r="M567" s="1"/>
      <c r="N567" s="1"/>
    </row>
    <row r="568" ht="27.75" customHeight="1">
      <c r="A568" s="1"/>
      <c r="B568" s="16"/>
      <c r="C568" s="17"/>
      <c r="D568" s="67"/>
      <c r="E568" s="72"/>
      <c r="F568" s="1"/>
      <c r="G568" s="1"/>
      <c r="H568" s="1"/>
      <c r="I568" s="1"/>
      <c r="J568" s="1"/>
      <c r="K568" s="1"/>
      <c r="L568" s="1"/>
      <c r="M568" s="1"/>
      <c r="N568" s="1"/>
    </row>
    <row r="569" ht="27.75" customHeight="1">
      <c r="A569" s="1"/>
      <c r="B569" s="16"/>
      <c r="C569" s="17"/>
      <c r="D569" s="67"/>
      <c r="E569" s="72"/>
      <c r="F569" s="1"/>
      <c r="G569" s="1"/>
      <c r="H569" s="1"/>
      <c r="I569" s="1"/>
      <c r="J569" s="1"/>
      <c r="K569" s="1"/>
      <c r="L569" s="1"/>
      <c r="M569" s="1"/>
      <c r="N569" s="1"/>
    </row>
    <row r="570" ht="27.75" customHeight="1">
      <c r="A570" s="1"/>
      <c r="B570" s="16"/>
      <c r="C570" s="17"/>
      <c r="D570" s="67"/>
      <c r="E570" s="72"/>
      <c r="F570" s="1"/>
      <c r="G570" s="1"/>
      <c r="H570" s="1"/>
      <c r="I570" s="1"/>
      <c r="J570" s="1"/>
      <c r="K570" s="1"/>
      <c r="L570" s="1"/>
      <c r="M570" s="1"/>
      <c r="N570" s="1"/>
    </row>
    <row r="571" ht="27.75" customHeight="1">
      <c r="A571" s="1"/>
      <c r="B571" s="16"/>
      <c r="C571" s="17"/>
      <c r="D571" s="67"/>
      <c r="E571" s="72"/>
      <c r="F571" s="1"/>
      <c r="G571" s="1"/>
      <c r="H571" s="1"/>
      <c r="I571" s="1"/>
      <c r="J571" s="1"/>
      <c r="K571" s="1"/>
      <c r="L571" s="1"/>
      <c r="M571" s="1"/>
      <c r="N571" s="1"/>
    </row>
    <row r="572" ht="27.75" customHeight="1">
      <c r="A572" s="1"/>
      <c r="B572" s="16"/>
      <c r="C572" s="17"/>
      <c r="D572" s="67"/>
      <c r="E572" s="72"/>
      <c r="F572" s="1"/>
      <c r="G572" s="1"/>
      <c r="H572" s="1"/>
      <c r="I572" s="1"/>
      <c r="J572" s="1"/>
      <c r="K572" s="1"/>
      <c r="L572" s="1"/>
      <c r="M572" s="1"/>
      <c r="N572" s="1"/>
    </row>
    <row r="573" ht="27.75" customHeight="1">
      <c r="A573" s="1"/>
      <c r="B573" s="16"/>
      <c r="C573" s="17"/>
      <c r="D573" s="67"/>
      <c r="E573" s="72"/>
      <c r="F573" s="1"/>
      <c r="G573" s="1"/>
      <c r="H573" s="1"/>
      <c r="I573" s="1"/>
      <c r="J573" s="1"/>
      <c r="K573" s="1"/>
      <c r="L573" s="1"/>
      <c r="M573" s="1"/>
      <c r="N573" s="1"/>
    </row>
    <row r="574" ht="27.75" customHeight="1">
      <c r="A574" s="1"/>
      <c r="B574" s="16"/>
      <c r="C574" s="17"/>
      <c r="D574" s="67"/>
      <c r="E574" s="72"/>
      <c r="F574" s="1"/>
      <c r="G574" s="1"/>
      <c r="H574" s="1"/>
      <c r="I574" s="1"/>
      <c r="J574" s="1"/>
      <c r="K574" s="1"/>
      <c r="L574" s="1"/>
      <c r="M574" s="1"/>
      <c r="N574" s="1"/>
    </row>
    <row r="575" ht="27.75" customHeight="1">
      <c r="A575" s="1"/>
      <c r="B575" s="16"/>
      <c r="C575" s="17"/>
      <c r="D575" s="67"/>
      <c r="E575" s="72"/>
      <c r="F575" s="1"/>
      <c r="G575" s="1"/>
      <c r="H575" s="1"/>
      <c r="I575" s="1"/>
      <c r="J575" s="1"/>
      <c r="K575" s="1"/>
      <c r="L575" s="1"/>
      <c r="M575" s="1"/>
      <c r="N575" s="1"/>
    </row>
    <row r="576" ht="27.75" customHeight="1">
      <c r="A576" s="1"/>
      <c r="B576" s="16"/>
      <c r="C576" s="17"/>
      <c r="D576" s="67"/>
      <c r="E576" s="72"/>
      <c r="F576" s="1"/>
      <c r="G576" s="1"/>
      <c r="H576" s="1"/>
      <c r="I576" s="1"/>
      <c r="J576" s="1"/>
      <c r="K576" s="1"/>
      <c r="L576" s="1"/>
      <c r="M576" s="1"/>
      <c r="N576" s="1"/>
    </row>
    <row r="577" ht="27.75" customHeight="1">
      <c r="A577" s="1"/>
      <c r="B577" s="16"/>
      <c r="C577" s="17"/>
      <c r="D577" s="67"/>
      <c r="E577" s="72"/>
      <c r="F577" s="1"/>
      <c r="G577" s="1"/>
      <c r="H577" s="1"/>
      <c r="I577" s="1"/>
      <c r="J577" s="1"/>
      <c r="K577" s="1"/>
      <c r="L577" s="1"/>
      <c r="M577" s="1"/>
      <c r="N577" s="1"/>
    </row>
    <row r="578" ht="27.75" customHeight="1">
      <c r="A578" s="1"/>
      <c r="B578" s="16"/>
      <c r="C578" s="17"/>
      <c r="D578" s="67"/>
      <c r="E578" s="72"/>
      <c r="F578" s="1"/>
      <c r="G578" s="1"/>
      <c r="H578" s="1"/>
      <c r="I578" s="1"/>
      <c r="J578" s="1"/>
      <c r="K578" s="1"/>
      <c r="L578" s="1"/>
      <c r="M578" s="1"/>
      <c r="N578" s="1"/>
    </row>
    <row r="579" ht="27.75" customHeight="1">
      <c r="A579" s="1"/>
      <c r="B579" s="16"/>
      <c r="C579" s="17"/>
      <c r="D579" s="67"/>
      <c r="E579" s="72"/>
      <c r="F579" s="1"/>
      <c r="G579" s="1"/>
      <c r="H579" s="1"/>
      <c r="I579" s="1"/>
      <c r="J579" s="1"/>
      <c r="K579" s="1"/>
      <c r="L579" s="1"/>
      <c r="M579" s="1"/>
      <c r="N579" s="1"/>
    </row>
    <row r="580" ht="27.75" customHeight="1">
      <c r="A580" s="1"/>
      <c r="B580" s="16"/>
      <c r="C580" s="17"/>
      <c r="D580" s="67"/>
      <c r="E580" s="72"/>
      <c r="F580" s="1"/>
      <c r="G580" s="1"/>
      <c r="H580" s="1"/>
      <c r="I580" s="1"/>
      <c r="J580" s="1"/>
      <c r="K580" s="1"/>
      <c r="L580" s="1"/>
      <c r="M580" s="1"/>
      <c r="N580" s="1"/>
    </row>
    <row r="581" ht="27.75" customHeight="1">
      <c r="A581" s="1"/>
      <c r="B581" s="16"/>
      <c r="C581" s="17"/>
      <c r="D581" s="67"/>
      <c r="E581" s="72"/>
      <c r="F581" s="1"/>
      <c r="G581" s="1"/>
      <c r="H581" s="1"/>
      <c r="I581" s="1"/>
      <c r="J581" s="1"/>
      <c r="K581" s="1"/>
      <c r="L581" s="1"/>
      <c r="M581" s="1"/>
      <c r="N581" s="1"/>
    </row>
    <row r="582" ht="27.75" customHeight="1">
      <c r="A582" s="1"/>
      <c r="B582" s="16"/>
      <c r="C582" s="17"/>
      <c r="D582" s="67"/>
      <c r="E582" s="72"/>
      <c r="F582" s="1"/>
      <c r="G582" s="1"/>
      <c r="H582" s="1"/>
      <c r="I582" s="1"/>
      <c r="J582" s="1"/>
      <c r="K582" s="1"/>
      <c r="L582" s="1"/>
      <c r="M582" s="1"/>
      <c r="N582" s="1"/>
    </row>
    <row r="583" ht="27.75" customHeight="1">
      <c r="A583" s="1"/>
      <c r="B583" s="16"/>
      <c r="C583" s="17"/>
      <c r="D583" s="67"/>
      <c r="E583" s="72"/>
      <c r="F583" s="1"/>
      <c r="G583" s="1"/>
      <c r="H583" s="1"/>
      <c r="I583" s="1"/>
      <c r="J583" s="1"/>
      <c r="K583" s="1"/>
      <c r="L583" s="1"/>
      <c r="M583" s="1"/>
      <c r="N583" s="1"/>
    </row>
    <row r="584" ht="27.75" customHeight="1">
      <c r="A584" s="1"/>
      <c r="B584" s="16"/>
      <c r="C584" s="17"/>
      <c r="D584" s="67"/>
      <c r="E584" s="72"/>
      <c r="F584" s="1"/>
      <c r="G584" s="1"/>
      <c r="H584" s="1"/>
      <c r="I584" s="1"/>
      <c r="J584" s="1"/>
      <c r="K584" s="1"/>
      <c r="L584" s="1"/>
      <c r="M584" s="1"/>
      <c r="N584" s="1"/>
    </row>
    <row r="585" ht="27.75" customHeight="1">
      <c r="A585" s="1"/>
      <c r="B585" s="16"/>
      <c r="C585" s="17"/>
      <c r="D585" s="67"/>
      <c r="E585" s="72"/>
      <c r="F585" s="1"/>
      <c r="G585" s="1"/>
      <c r="H585" s="1"/>
      <c r="I585" s="1"/>
      <c r="J585" s="1"/>
      <c r="K585" s="1"/>
      <c r="L585" s="1"/>
      <c r="M585" s="1"/>
      <c r="N585" s="1"/>
    </row>
    <row r="586" ht="27.75" customHeight="1">
      <c r="A586" s="1"/>
      <c r="B586" s="16"/>
      <c r="C586" s="17"/>
      <c r="D586" s="67"/>
      <c r="E586" s="72"/>
      <c r="F586" s="1"/>
      <c r="G586" s="1"/>
      <c r="H586" s="1"/>
      <c r="I586" s="1"/>
      <c r="J586" s="1"/>
      <c r="K586" s="1"/>
      <c r="L586" s="1"/>
      <c r="M586" s="1"/>
      <c r="N586" s="1"/>
    </row>
    <row r="587" ht="27.75" customHeight="1">
      <c r="A587" s="1"/>
      <c r="B587" s="16"/>
      <c r="C587" s="17"/>
      <c r="D587" s="67"/>
      <c r="E587" s="72"/>
      <c r="F587" s="1"/>
      <c r="G587" s="1"/>
      <c r="H587" s="1"/>
      <c r="I587" s="1"/>
      <c r="J587" s="1"/>
      <c r="K587" s="1"/>
      <c r="L587" s="1"/>
      <c r="M587" s="1"/>
      <c r="N587" s="1"/>
    </row>
    <row r="588" ht="27.75" customHeight="1">
      <c r="A588" s="1"/>
      <c r="B588" s="16"/>
      <c r="C588" s="17"/>
      <c r="D588" s="67"/>
      <c r="E588" s="72"/>
      <c r="F588" s="1"/>
      <c r="G588" s="1"/>
      <c r="H588" s="1"/>
      <c r="I588" s="1"/>
      <c r="J588" s="1"/>
      <c r="K588" s="1"/>
      <c r="L588" s="1"/>
      <c r="M588" s="1"/>
      <c r="N588" s="1"/>
    </row>
    <row r="589" ht="27.75" customHeight="1">
      <c r="A589" s="1"/>
      <c r="B589" s="16"/>
      <c r="C589" s="17"/>
      <c r="D589" s="67"/>
      <c r="E589" s="72"/>
      <c r="F589" s="1"/>
      <c r="G589" s="1"/>
      <c r="H589" s="1"/>
      <c r="I589" s="1"/>
      <c r="J589" s="1"/>
      <c r="K589" s="1"/>
      <c r="L589" s="1"/>
      <c r="M589" s="1"/>
      <c r="N589" s="1"/>
    </row>
    <row r="590" ht="27.75" customHeight="1">
      <c r="A590" s="1"/>
      <c r="B590" s="16"/>
      <c r="C590" s="17"/>
      <c r="D590" s="67"/>
      <c r="E590" s="72"/>
      <c r="F590" s="1"/>
      <c r="G590" s="1"/>
      <c r="H590" s="1"/>
      <c r="I590" s="1"/>
      <c r="J590" s="1"/>
      <c r="K590" s="1"/>
      <c r="L590" s="1"/>
      <c r="M590" s="1"/>
      <c r="N590" s="1"/>
    </row>
    <row r="591" ht="27.75" customHeight="1">
      <c r="A591" s="1"/>
      <c r="B591" s="16"/>
      <c r="C591" s="17"/>
      <c r="D591" s="67"/>
      <c r="E591" s="72"/>
      <c r="F591" s="1"/>
      <c r="G591" s="1"/>
      <c r="H591" s="1"/>
      <c r="I591" s="1"/>
      <c r="J591" s="1"/>
      <c r="K591" s="1"/>
      <c r="L591" s="1"/>
      <c r="M591" s="1"/>
      <c r="N591" s="1"/>
    </row>
    <row r="592" ht="27.75" customHeight="1">
      <c r="A592" s="1"/>
      <c r="B592" s="16"/>
      <c r="C592" s="17"/>
      <c r="D592" s="67"/>
      <c r="E592" s="72"/>
      <c r="F592" s="1"/>
      <c r="G592" s="1"/>
      <c r="H592" s="1"/>
      <c r="I592" s="1"/>
      <c r="J592" s="1"/>
      <c r="K592" s="1"/>
      <c r="L592" s="1"/>
      <c r="M592" s="1"/>
      <c r="N592" s="1"/>
    </row>
    <row r="593" ht="27.75" customHeight="1">
      <c r="A593" s="1"/>
      <c r="B593" s="16"/>
      <c r="C593" s="17"/>
      <c r="D593" s="67"/>
      <c r="E593" s="72"/>
      <c r="F593" s="1"/>
      <c r="G593" s="1"/>
      <c r="H593" s="1"/>
      <c r="I593" s="1"/>
      <c r="J593" s="1"/>
      <c r="K593" s="1"/>
      <c r="L593" s="1"/>
      <c r="M593" s="1"/>
      <c r="N593" s="1"/>
    </row>
    <row r="594" ht="27.75" customHeight="1">
      <c r="A594" s="1"/>
      <c r="B594" s="16"/>
      <c r="C594" s="17"/>
      <c r="D594" s="67"/>
      <c r="E594" s="72"/>
      <c r="F594" s="1"/>
      <c r="G594" s="1"/>
      <c r="H594" s="1"/>
      <c r="I594" s="1"/>
      <c r="J594" s="1"/>
      <c r="K594" s="1"/>
      <c r="L594" s="1"/>
      <c r="M594" s="1"/>
      <c r="N594" s="1"/>
    </row>
    <row r="595" ht="27.75" customHeight="1">
      <c r="A595" s="1"/>
      <c r="B595" s="16"/>
      <c r="C595" s="17"/>
      <c r="D595" s="67"/>
      <c r="E595" s="72"/>
      <c r="F595" s="1"/>
      <c r="G595" s="1"/>
      <c r="H595" s="1"/>
      <c r="I595" s="1"/>
      <c r="J595" s="1"/>
      <c r="K595" s="1"/>
      <c r="L595" s="1"/>
      <c r="M595" s="1"/>
      <c r="N595" s="1"/>
    </row>
    <row r="596" ht="27.75" customHeight="1">
      <c r="A596" s="1"/>
      <c r="B596" s="16"/>
      <c r="C596" s="17"/>
      <c r="D596" s="67"/>
      <c r="E596" s="72"/>
      <c r="F596" s="1"/>
      <c r="G596" s="1"/>
      <c r="H596" s="1"/>
      <c r="I596" s="1"/>
      <c r="J596" s="1"/>
      <c r="K596" s="1"/>
      <c r="L596" s="1"/>
      <c r="M596" s="1"/>
      <c r="N596" s="1"/>
    </row>
    <row r="597" ht="27.75" customHeight="1">
      <c r="A597" s="1"/>
      <c r="B597" s="16"/>
      <c r="C597" s="17"/>
      <c r="D597" s="67"/>
      <c r="E597" s="72"/>
      <c r="F597" s="1"/>
      <c r="G597" s="1"/>
      <c r="H597" s="1"/>
      <c r="I597" s="1"/>
      <c r="J597" s="1"/>
      <c r="K597" s="1"/>
      <c r="L597" s="1"/>
      <c r="M597" s="1"/>
      <c r="N597" s="1"/>
    </row>
    <row r="598" ht="27.75" customHeight="1">
      <c r="A598" s="1"/>
      <c r="B598" s="16"/>
      <c r="C598" s="17"/>
      <c r="D598" s="67"/>
      <c r="E598" s="72"/>
      <c r="F598" s="1"/>
      <c r="G598" s="1"/>
      <c r="H598" s="1"/>
      <c r="I598" s="1"/>
      <c r="J598" s="1"/>
      <c r="K598" s="1"/>
      <c r="L598" s="1"/>
      <c r="M598" s="1"/>
      <c r="N598" s="1"/>
    </row>
    <row r="599" ht="27.75" customHeight="1">
      <c r="A599" s="1"/>
      <c r="B599" s="16"/>
      <c r="C599" s="17"/>
      <c r="D599" s="67"/>
      <c r="E599" s="72"/>
      <c r="F599" s="1"/>
      <c r="G599" s="1"/>
      <c r="H599" s="1"/>
      <c r="I599" s="1"/>
      <c r="J599" s="1"/>
      <c r="K599" s="1"/>
      <c r="L599" s="1"/>
      <c r="M599" s="1"/>
      <c r="N599" s="1"/>
    </row>
    <row r="600" ht="27.75" customHeight="1">
      <c r="A600" s="1"/>
      <c r="B600" s="16"/>
      <c r="C600" s="17"/>
      <c r="D600" s="67"/>
      <c r="E600" s="72"/>
      <c r="F600" s="1"/>
      <c r="G600" s="1"/>
      <c r="H600" s="1"/>
      <c r="I600" s="1"/>
      <c r="J600" s="1"/>
      <c r="K600" s="1"/>
      <c r="L600" s="1"/>
      <c r="M600" s="1"/>
      <c r="N600" s="1"/>
    </row>
    <row r="601" ht="27.75" customHeight="1">
      <c r="A601" s="1"/>
      <c r="B601" s="16"/>
      <c r="C601" s="17"/>
      <c r="D601" s="67"/>
      <c r="E601" s="72"/>
      <c r="F601" s="1"/>
      <c r="G601" s="1"/>
      <c r="H601" s="1"/>
      <c r="I601" s="1"/>
      <c r="J601" s="1"/>
      <c r="K601" s="1"/>
      <c r="L601" s="1"/>
      <c r="M601" s="1"/>
      <c r="N601" s="1"/>
    </row>
    <row r="602" ht="27.75" customHeight="1">
      <c r="A602" s="1"/>
      <c r="B602" s="16"/>
      <c r="C602" s="17"/>
      <c r="D602" s="67"/>
      <c r="E602" s="72"/>
      <c r="F602" s="1"/>
      <c r="G602" s="1"/>
      <c r="H602" s="1"/>
      <c r="I602" s="1"/>
      <c r="J602" s="1"/>
      <c r="K602" s="1"/>
      <c r="L602" s="1"/>
      <c r="M602" s="1"/>
      <c r="N602" s="1"/>
    </row>
    <row r="603" ht="27.75" customHeight="1">
      <c r="A603" s="1"/>
      <c r="B603" s="16"/>
      <c r="C603" s="17"/>
      <c r="D603" s="67"/>
      <c r="E603" s="72"/>
      <c r="F603" s="1"/>
      <c r="G603" s="1"/>
      <c r="H603" s="1"/>
      <c r="I603" s="1"/>
      <c r="J603" s="1"/>
      <c r="K603" s="1"/>
      <c r="L603" s="1"/>
      <c r="M603" s="1"/>
      <c r="N603" s="1"/>
    </row>
    <row r="604" ht="27.75" customHeight="1">
      <c r="A604" s="1"/>
      <c r="B604" s="16"/>
      <c r="C604" s="17"/>
      <c r="D604" s="67"/>
      <c r="E604" s="72"/>
      <c r="F604" s="1"/>
      <c r="G604" s="1"/>
      <c r="H604" s="1"/>
      <c r="I604" s="1"/>
      <c r="J604" s="1"/>
      <c r="K604" s="1"/>
      <c r="L604" s="1"/>
      <c r="M604" s="1"/>
      <c r="N604" s="1"/>
    </row>
    <row r="605" ht="27.75" customHeight="1">
      <c r="A605" s="1"/>
      <c r="B605" s="16"/>
      <c r="C605" s="17"/>
      <c r="D605" s="67"/>
      <c r="E605" s="72"/>
      <c r="F605" s="1"/>
      <c r="G605" s="1"/>
      <c r="H605" s="1"/>
      <c r="I605" s="1"/>
      <c r="J605" s="1"/>
      <c r="K605" s="1"/>
      <c r="L605" s="1"/>
      <c r="M605" s="1"/>
      <c r="N605" s="1"/>
    </row>
    <row r="606" ht="27.75" customHeight="1">
      <c r="A606" s="1"/>
      <c r="B606" s="16"/>
      <c r="C606" s="17"/>
      <c r="D606" s="67"/>
      <c r="E606" s="72"/>
      <c r="F606" s="1"/>
      <c r="G606" s="1"/>
      <c r="H606" s="1"/>
      <c r="I606" s="1"/>
      <c r="J606" s="1"/>
      <c r="K606" s="1"/>
      <c r="L606" s="1"/>
      <c r="M606" s="1"/>
      <c r="N606" s="1"/>
    </row>
    <row r="607" ht="27.75" customHeight="1">
      <c r="A607" s="1"/>
      <c r="B607" s="16"/>
      <c r="C607" s="17"/>
      <c r="D607" s="67"/>
      <c r="E607" s="72"/>
      <c r="F607" s="1"/>
      <c r="G607" s="1"/>
      <c r="H607" s="1"/>
      <c r="I607" s="1"/>
      <c r="J607" s="1"/>
      <c r="K607" s="1"/>
      <c r="L607" s="1"/>
      <c r="M607" s="1"/>
      <c r="N607" s="1"/>
    </row>
    <row r="608" ht="27.75" customHeight="1">
      <c r="A608" s="1"/>
      <c r="B608" s="16"/>
      <c r="C608" s="17"/>
      <c r="D608" s="67"/>
      <c r="E608" s="72"/>
      <c r="F608" s="1"/>
      <c r="G608" s="1"/>
      <c r="H608" s="1"/>
      <c r="I608" s="1"/>
      <c r="J608" s="1"/>
      <c r="K608" s="1"/>
      <c r="L608" s="1"/>
      <c r="M608" s="1"/>
      <c r="N608" s="1"/>
    </row>
    <row r="609" ht="27.75" customHeight="1">
      <c r="A609" s="1"/>
      <c r="B609" s="16"/>
      <c r="C609" s="17"/>
      <c r="D609" s="67"/>
      <c r="E609" s="72"/>
      <c r="F609" s="1"/>
      <c r="G609" s="1"/>
      <c r="H609" s="1"/>
      <c r="I609" s="1"/>
      <c r="J609" s="1"/>
      <c r="K609" s="1"/>
      <c r="L609" s="1"/>
      <c r="M609" s="1"/>
      <c r="N609" s="1"/>
    </row>
    <row r="610" ht="27.75" customHeight="1">
      <c r="A610" s="1"/>
      <c r="B610" s="16"/>
      <c r="C610" s="17"/>
      <c r="D610" s="67"/>
      <c r="E610" s="72"/>
      <c r="F610" s="1"/>
      <c r="G610" s="1"/>
      <c r="H610" s="1"/>
      <c r="I610" s="1"/>
      <c r="J610" s="1"/>
      <c r="K610" s="1"/>
      <c r="L610" s="1"/>
      <c r="M610" s="1"/>
      <c r="N610" s="1"/>
    </row>
    <row r="611" ht="27.75" customHeight="1">
      <c r="A611" s="1"/>
      <c r="B611" s="16"/>
      <c r="C611" s="17"/>
      <c r="D611" s="67"/>
      <c r="E611" s="72"/>
      <c r="F611" s="1"/>
      <c r="G611" s="1"/>
      <c r="H611" s="1"/>
      <c r="I611" s="1"/>
      <c r="J611" s="1"/>
      <c r="K611" s="1"/>
      <c r="L611" s="1"/>
      <c r="M611" s="1"/>
      <c r="N611" s="1"/>
    </row>
    <row r="612" ht="27.75" customHeight="1">
      <c r="A612" s="1"/>
      <c r="B612" s="16"/>
      <c r="C612" s="17"/>
      <c r="D612" s="67"/>
      <c r="E612" s="72"/>
      <c r="F612" s="1"/>
      <c r="G612" s="1"/>
      <c r="H612" s="1"/>
      <c r="I612" s="1"/>
      <c r="J612" s="1"/>
      <c r="K612" s="1"/>
      <c r="L612" s="1"/>
      <c r="M612" s="1"/>
      <c r="N612" s="1"/>
    </row>
    <row r="613" ht="27.75" customHeight="1">
      <c r="A613" s="1"/>
      <c r="B613" s="16"/>
      <c r="C613" s="17"/>
      <c r="D613" s="67"/>
      <c r="E613" s="72"/>
      <c r="F613" s="1"/>
      <c r="G613" s="1"/>
      <c r="H613" s="1"/>
      <c r="I613" s="1"/>
      <c r="J613" s="1"/>
      <c r="K613" s="1"/>
      <c r="L613" s="1"/>
      <c r="M613" s="1"/>
      <c r="N613" s="1"/>
    </row>
    <row r="614" ht="27.75" customHeight="1">
      <c r="A614" s="1"/>
      <c r="B614" s="16"/>
      <c r="C614" s="17"/>
      <c r="D614" s="67"/>
      <c r="E614" s="72"/>
      <c r="F614" s="1"/>
      <c r="G614" s="1"/>
      <c r="H614" s="1"/>
      <c r="I614" s="1"/>
      <c r="J614" s="1"/>
      <c r="K614" s="1"/>
      <c r="L614" s="1"/>
      <c r="M614" s="1"/>
      <c r="N614" s="1"/>
    </row>
    <row r="615" ht="27.75" customHeight="1">
      <c r="A615" s="1"/>
      <c r="B615" s="16"/>
      <c r="C615" s="17"/>
      <c r="D615" s="67"/>
      <c r="E615" s="72"/>
      <c r="F615" s="1"/>
      <c r="G615" s="1"/>
      <c r="H615" s="1"/>
      <c r="I615" s="1"/>
      <c r="J615" s="1"/>
      <c r="K615" s="1"/>
      <c r="L615" s="1"/>
      <c r="M615" s="1"/>
      <c r="N615" s="1"/>
    </row>
    <row r="616" ht="27.75" customHeight="1">
      <c r="A616" s="1"/>
      <c r="B616" s="16"/>
      <c r="C616" s="17"/>
      <c r="D616" s="67"/>
      <c r="E616" s="72"/>
      <c r="F616" s="1"/>
      <c r="G616" s="1"/>
      <c r="H616" s="1"/>
      <c r="I616" s="1"/>
      <c r="J616" s="1"/>
      <c r="K616" s="1"/>
      <c r="L616" s="1"/>
      <c r="M616" s="1"/>
      <c r="N616" s="1"/>
    </row>
    <row r="617" ht="27.75" customHeight="1">
      <c r="A617" s="1"/>
      <c r="B617" s="16"/>
      <c r="C617" s="17"/>
      <c r="D617" s="67"/>
      <c r="E617" s="72"/>
      <c r="F617" s="1"/>
      <c r="G617" s="1"/>
      <c r="H617" s="1"/>
      <c r="I617" s="1"/>
      <c r="J617" s="1"/>
      <c r="K617" s="1"/>
      <c r="L617" s="1"/>
      <c r="M617" s="1"/>
      <c r="N617" s="1"/>
    </row>
    <row r="618" ht="27.75" customHeight="1">
      <c r="A618" s="1"/>
      <c r="B618" s="16"/>
      <c r="C618" s="17"/>
      <c r="D618" s="67"/>
      <c r="E618" s="72"/>
      <c r="F618" s="1"/>
      <c r="G618" s="1"/>
      <c r="H618" s="1"/>
      <c r="I618" s="1"/>
      <c r="J618" s="1"/>
      <c r="K618" s="1"/>
      <c r="L618" s="1"/>
      <c r="M618" s="1"/>
      <c r="N618" s="1"/>
    </row>
    <row r="619" ht="27.75" customHeight="1">
      <c r="A619" s="1"/>
      <c r="B619" s="16"/>
      <c r="C619" s="17"/>
      <c r="D619" s="67"/>
      <c r="E619" s="72"/>
      <c r="F619" s="1"/>
      <c r="G619" s="1"/>
      <c r="H619" s="1"/>
      <c r="I619" s="1"/>
      <c r="J619" s="1"/>
      <c r="K619" s="1"/>
      <c r="L619" s="1"/>
      <c r="M619" s="1"/>
      <c r="N619" s="1"/>
    </row>
    <row r="620" ht="27.75" customHeight="1">
      <c r="A620" s="1"/>
      <c r="B620" s="16"/>
      <c r="C620" s="17"/>
      <c r="D620" s="67"/>
      <c r="E620" s="72"/>
      <c r="F620" s="1"/>
      <c r="G620" s="1"/>
      <c r="H620" s="1"/>
      <c r="I620" s="1"/>
      <c r="J620" s="1"/>
      <c r="K620" s="1"/>
      <c r="L620" s="1"/>
      <c r="M620" s="1"/>
      <c r="N620" s="1"/>
    </row>
    <row r="621" ht="27.75" customHeight="1">
      <c r="A621" s="1"/>
      <c r="B621" s="16"/>
      <c r="C621" s="17"/>
      <c r="D621" s="67"/>
      <c r="E621" s="72"/>
      <c r="F621" s="1"/>
      <c r="G621" s="1"/>
      <c r="H621" s="1"/>
      <c r="I621" s="1"/>
      <c r="J621" s="1"/>
      <c r="K621" s="1"/>
      <c r="L621" s="1"/>
      <c r="M621" s="1"/>
      <c r="N621" s="1"/>
    </row>
    <row r="622" ht="27.75" customHeight="1">
      <c r="A622" s="1"/>
      <c r="B622" s="16"/>
      <c r="C622" s="17"/>
      <c r="D622" s="67"/>
      <c r="E622" s="72"/>
      <c r="F622" s="1"/>
      <c r="G622" s="1"/>
      <c r="H622" s="1"/>
      <c r="I622" s="1"/>
      <c r="J622" s="1"/>
      <c r="K622" s="1"/>
      <c r="L622" s="1"/>
      <c r="M622" s="1"/>
      <c r="N622" s="1"/>
    </row>
    <row r="623" ht="27.75" customHeight="1">
      <c r="A623" s="1"/>
      <c r="B623" s="16"/>
      <c r="C623" s="17"/>
      <c r="D623" s="67"/>
      <c r="E623" s="72"/>
      <c r="F623" s="1"/>
      <c r="G623" s="1"/>
      <c r="H623" s="1"/>
      <c r="I623" s="1"/>
      <c r="J623" s="1"/>
      <c r="K623" s="1"/>
      <c r="L623" s="1"/>
      <c r="M623" s="1"/>
      <c r="N623" s="1"/>
    </row>
    <row r="624" ht="27.75" customHeight="1">
      <c r="A624" s="1"/>
      <c r="B624" s="16"/>
      <c r="C624" s="17"/>
      <c r="D624" s="67"/>
      <c r="E624" s="72"/>
      <c r="F624" s="1"/>
      <c r="G624" s="1"/>
      <c r="H624" s="1"/>
      <c r="I624" s="1"/>
      <c r="J624" s="1"/>
      <c r="K624" s="1"/>
      <c r="L624" s="1"/>
      <c r="M624" s="1"/>
      <c r="N624" s="1"/>
    </row>
    <row r="625" ht="27.75" customHeight="1">
      <c r="A625" s="1"/>
      <c r="B625" s="16"/>
      <c r="C625" s="17"/>
      <c r="D625" s="67"/>
      <c r="E625" s="72"/>
      <c r="F625" s="1"/>
      <c r="G625" s="1"/>
      <c r="H625" s="1"/>
      <c r="I625" s="1"/>
      <c r="J625" s="1"/>
      <c r="K625" s="1"/>
      <c r="L625" s="1"/>
      <c r="M625" s="1"/>
      <c r="N625" s="1"/>
    </row>
    <row r="626" ht="27.75" customHeight="1">
      <c r="A626" s="1"/>
      <c r="B626" s="16"/>
      <c r="C626" s="17"/>
      <c r="D626" s="67"/>
      <c r="E626" s="72"/>
      <c r="F626" s="1"/>
      <c r="G626" s="1"/>
      <c r="H626" s="1"/>
      <c r="I626" s="1"/>
      <c r="J626" s="1"/>
      <c r="K626" s="1"/>
      <c r="L626" s="1"/>
      <c r="M626" s="1"/>
      <c r="N626" s="1"/>
    </row>
    <row r="627" ht="27.75" customHeight="1">
      <c r="A627" s="1"/>
      <c r="B627" s="16"/>
      <c r="C627" s="17"/>
      <c r="D627" s="67"/>
      <c r="E627" s="72"/>
      <c r="F627" s="1"/>
      <c r="G627" s="1"/>
      <c r="H627" s="1"/>
      <c r="I627" s="1"/>
      <c r="J627" s="1"/>
      <c r="K627" s="1"/>
      <c r="L627" s="1"/>
      <c r="M627" s="1"/>
      <c r="N627" s="1"/>
    </row>
    <row r="628" ht="27.75" customHeight="1">
      <c r="A628" s="1"/>
      <c r="B628" s="16"/>
      <c r="C628" s="17"/>
      <c r="D628" s="67"/>
      <c r="E628" s="72"/>
      <c r="F628" s="1"/>
      <c r="G628" s="1"/>
      <c r="H628" s="1"/>
      <c r="I628" s="1"/>
      <c r="J628" s="1"/>
      <c r="K628" s="1"/>
      <c r="L628" s="1"/>
      <c r="M628" s="1"/>
      <c r="N628" s="1"/>
    </row>
    <row r="629" ht="27.75" customHeight="1">
      <c r="A629" s="1"/>
      <c r="B629" s="16"/>
      <c r="C629" s="17"/>
      <c r="D629" s="67"/>
      <c r="E629" s="72"/>
      <c r="F629" s="1"/>
      <c r="G629" s="1"/>
      <c r="H629" s="1"/>
      <c r="I629" s="1"/>
      <c r="J629" s="1"/>
      <c r="K629" s="1"/>
      <c r="L629" s="1"/>
      <c r="M629" s="1"/>
      <c r="N629" s="1"/>
    </row>
    <row r="630" ht="27.75" customHeight="1">
      <c r="A630" s="1"/>
      <c r="B630" s="16"/>
      <c r="C630" s="17"/>
      <c r="D630" s="67"/>
      <c r="E630" s="72"/>
      <c r="F630" s="1"/>
      <c r="G630" s="1"/>
      <c r="H630" s="1"/>
      <c r="I630" s="1"/>
      <c r="J630" s="1"/>
      <c r="K630" s="1"/>
      <c r="L630" s="1"/>
      <c r="M630" s="1"/>
      <c r="N630" s="1"/>
    </row>
    <row r="631" ht="27.75" customHeight="1">
      <c r="A631" s="1"/>
      <c r="B631" s="16"/>
      <c r="C631" s="17"/>
      <c r="D631" s="67"/>
      <c r="E631" s="72"/>
      <c r="F631" s="1"/>
      <c r="G631" s="1"/>
      <c r="H631" s="1"/>
      <c r="I631" s="1"/>
      <c r="J631" s="1"/>
      <c r="K631" s="1"/>
      <c r="L631" s="1"/>
      <c r="M631" s="1"/>
      <c r="N631" s="1"/>
    </row>
    <row r="632" ht="27.75" customHeight="1">
      <c r="A632" s="1"/>
      <c r="B632" s="16"/>
      <c r="C632" s="17"/>
      <c r="D632" s="67"/>
      <c r="E632" s="72"/>
      <c r="F632" s="1"/>
      <c r="G632" s="1"/>
      <c r="H632" s="1"/>
      <c r="I632" s="1"/>
      <c r="J632" s="1"/>
      <c r="K632" s="1"/>
      <c r="L632" s="1"/>
      <c r="M632" s="1"/>
      <c r="N632" s="1"/>
    </row>
    <row r="633" ht="27.75" customHeight="1">
      <c r="A633" s="1"/>
      <c r="B633" s="16"/>
      <c r="C633" s="17"/>
      <c r="D633" s="67"/>
      <c r="E633" s="72"/>
      <c r="F633" s="1"/>
      <c r="G633" s="1"/>
      <c r="H633" s="1"/>
      <c r="I633" s="1"/>
      <c r="J633" s="1"/>
      <c r="K633" s="1"/>
      <c r="L633" s="1"/>
      <c r="M633" s="1"/>
      <c r="N633" s="1"/>
    </row>
    <row r="634" ht="27.75" customHeight="1">
      <c r="A634" s="1"/>
      <c r="B634" s="16"/>
      <c r="C634" s="17"/>
      <c r="D634" s="67"/>
      <c r="E634" s="72"/>
      <c r="F634" s="1"/>
      <c r="G634" s="1"/>
      <c r="H634" s="1"/>
      <c r="I634" s="1"/>
      <c r="J634" s="1"/>
      <c r="K634" s="1"/>
      <c r="L634" s="1"/>
      <c r="M634" s="1"/>
      <c r="N634" s="1"/>
    </row>
    <row r="635" ht="27.75" customHeight="1">
      <c r="A635" s="1"/>
      <c r="B635" s="16"/>
      <c r="C635" s="17"/>
      <c r="D635" s="67"/>
      <c r="E635" s="72"/>
      <c r="F635" s="1"/>
      <c r="G635" s="1"/>
      <c r="H635" s="1"/>
      <c r="I635" s="1"/>
      <c r="J635" s="1"/>
      <c r="K635" s="1"/>
      <c r="L635" s="1"/>
      <c r="M635" s="1"/>
      <c r="N635" s="1"/>
    </row>
    <row r="636" ht="27.75" customHeight="1">
      <c r="A636" s="1"/>
      <c r="B636" s="16"/>
      <c r="C636" s="17"/>
      <c r="D636" s="67"/>
      <c r="E636" s="72"/>
      <c r="F636" s="1"/>
      <c r="G636" s="1"/>
      <c r="H636" s="1"/>
      <c r="I636" s="1"/>
      <c r="J636" s="1"/>
      <c r="K636" s="1"/>
      <c r="L636" s="1"/>
      <c r="M636" s="1"/>
      <c r="N636" s="1"/>
    </row>
    <row r="637" ht="27.75" customHeight="1">
      <c r="A637" s="1"/>
      <c r="B637" s="16"/>
      <c r="C637" s="17"/>
      <c r="D637" s="67"/>
      <c r="E637" s="72"/>
      <c r="F637" s="1"/>
      <c r="G637" s="1"/>
      <c r="H637" s="1"/>
      <c r="I637" s="1"/>
      <c r="J637" s="1"/>
      <c r="K637" s="1"/>
      <c r="L637" s="1"/>
      <c r="M637" s="1"/>
      <c r="N637" s="1"/>
    </row>
    <row r="638" ht="27.75" customHeight="1">
      <c r="A638" s="1"/>
      <c r="B638" s="16"/>
      <c r="C638" s="17"/>
      <c r="D638" s="67"/>
      <c r="E638" s="72"/>
      <c r="F638" s="1"/>
      <c r="G638" s="1"/>
      <c r="H638" s="1"/>
      <c r="I638" s="1"/>
      <c r="J638" s="1"/>
      <c r="K638" s="1"/>
      <c r="L638" s="1"/>
      <c r="M638" s="1"/>
      <c r="N638" s="1"/>
    </row>
    <row r="639" ht="27.75" customHeight="1">
      <c r="A639" s="1"/>
      <c r="B639" s="16"/>
      <c r="C639" s="17"/>
      <c r="D639" s="67"/>
      <c r="E639" s="72"/>
      <c r="F639" s="1"/>
      <c r="G639" s="1"/>
      <c r="H639" s="1"/>
      <c r="I639" s="1"/>
      <c r="J639" s="1"/>
      <c r="K639" s="1"/>
      <c r="L639" s="1"/>
      <c r="M639" s="1"/>
      <c r="N639" s="1"/>
    </row>
    <row r="640" ht="27.75" customHeight="1">
      <c r="A640" s="1"/>
      <c r="B640" s="16"/>
      <c r="C640" s="17"/>
      <c r="D640" s="67"/>
      <c r="E640" s="72"/>
      <c r="F640" s="1"/>
      <c r="G640" s="1"/>
      <c r="H640" s="1"/>
      <c r="I640" s="1"/>
      <c r="J640" s="1"/>
      <c r="K640" s="1"/>
      <c r="L640" s="1"/>
      <c r="M640" s="1"/>
      <c r="N640" s="1"/>
    </row>
    <row r="641" ht="27.75" customHeight="1">
      <c r="A641" s="1"/>
      <c r="B641" s="16"/>
      <c r="C641" s="17"/>
      <c r="D641" s="67"/>
      <c r="E641" s="72"/>
      <c r="F641" s="1"/>
      <c r="G641" s="1"/>
      <c r="H641" s="1"/>
      <c r="I641" s="1"/>
      <c r="J641" s="1"/>
      <c r="K641" s="1"/>
      <c r="L641" s="1"/>
      <c r="M641" s="1"/>
      <c r="N641" s="1"/>
    </row>
    <row r="642" ht="27.75" customHeight="1">
      <c r="A642" s="1"/>
      <c r="B642" s="16"/>
      <c r="C642" s="17"/>
      <c r="D642" s="67"/>
      <c r="E642" s="72"/>
      <c r="F642" s="1"/>
      <c r="G642" s="1"/>
      <c r="H642" s="1"/>
      <c r="I642" s="1"/>
      <c r="J642" s="1"/>
      <c r="K642" s="1"/>
      <c r="L642" s="1"/>
      <c r="M642" s="1"/>
      <c r="N642" s="1"/>
    </row>
    <row r="643" ht="27.75" customHeight="1">
      <c r="A643" s="1"/>
      <c r="B643" s="16"/>
      <c r="C643" s="17"/>
      <c r="D643" s="67"/>
      <c r="E643" s="72"/>
      <c r="F643" s="1"/>
      <c r="G643" s="1"/>
      <c r="H643" s="1"/>
      <c r="I643" s="1"/>
      <c r="J643" s="1"/>
      <c r="K643" s="1"/>
      <c r="L643" s="1"/>
      <c r="M643" s="1"/>
      <c r="N643" s="1"/>
    </row>
    <row r="644" ht="27.75" customHeight="1">
      <c r="A644" s="1"/>
      <c r="B644" s="16"/>
      <c r="C644" s="17"/>
      <c r="D644" s="67"/>
      <c r="E644" s="72"/>
      <c r="F644" s="1"/>
      <c r="G644" s="1"/>
      <c r="H644" s="1"/>
      <c r="I644" s="1"/>
      <c r="J644" s="1"/>
      <c r="K644" s="1"/>
      <c r="L644" s="1"/>
      <c r="M644" s="1"/>
      <c r="N644" s="1"/>
    </row>
    <row r="645" ht="27.75" customHeight="1">
      <c r="A645" s="1"/>
      <c r="B645" s="16"/>
      <c r="C645" s="17"/>
      <c r="D645" s="67"/>
      <c r="E645" s="72"/>
      <c r="F645" s="1"/>
      <c r="G645" s="1"/>
      <c r="H645" s="1"/>
      <c r="I645" s="1"/>
      <c r="J645" s="1"/>
      <c r="K645" s="1"/>
      <c r="L645" s="1"/>
      <c r="M645" s="1"/>
      <c r="N645" s="1"/>
    </row>
    <row r="646" ht="27.75" customHeight="1">
      <c r="A646" s="1"/>
      <c r="B646" s="16"/>
      <c r="C646" s="17"/>
      <c r="D646" s="67"/>
      <c r="E646" s="72"/>
      <c r="F646" s="1"/>
      <c r="G646" s="1"/>
      <c r="H646" s="1"/>
      <c r="I646" s="1"/>
      <c r="J646" s="1"/>
      <c r="K646" s="1"/>
      <c r="L646" s="1"/>
      <c r="M646" s="1"/>
      <c r="N646" s="1"/>
    </row>
    <row r="647" ht="27.75" customHeight="1">
      <c r="A647" s="1"/>
      <c r="B647" s="16"/>
      <c r="C647" s="17"/>
      <c r="D647" s="67"/>
      <c r="E647" s="72"/>
      <c r="F647" s="1"/>
      <c r="G647" s="1"/>
      <c r="H647" s="1"/>
      <c r="I647" s="1"/>
      <c r="J647" s="1"/>
      <c r="K647" s="1"/>
      <c r="L647" s="1"/>
      <c r="M647" s="1"/>
      <c r="N647" s="1"/>
    </row>
    <row r="648" ht="27.75" customHeight="1">
      <c r="A648" s="1"/>
      <c r="B648" s="16"/>
      <c r="C648" s="17"/>
      <c r="D648" s="67"/>
      <c r="E648" s="72"/>
      <c r="F648" s="1"/>
      <c r="G648" s="1"/>
      <c r="H648" s="1"/>
      <c r="I648" s="1"/>
      <c r="J648" s="1"/>
      <c r="K648" s="1"/>
      <c r="L648" s="1"/>
      <c r="M648" s="1"/>
      <c r="N648" s="1"/>
    </row>
    <row r="649" ht="27.75" customHeight="1">
      <c r="A649" s="1"/>
      <c r="B649" s="16"/>
      <c r="C649" s="17"/>
      <c r="D649" s="67"/>
      <c r="E649" s="72"/>
      <c r="F649" s="1"/>
      <c r="G649" s="1"/>
      <c r="H649" s="1"/>
      <c r="I649" s="1"/>
      <c r="J649" s="1"/>
      <c r="K649" s="1"/>
      <c r="L649" s="1"/>
      <c r="M649" s="1"/>
      <c r="N649" s="1"/>
    </row>
    <row r="650" ht="27.75" customHeight="1">
      <c r="A650" s="1"/>
      <c r="B650" s="16"/>
      <c r="C650" s="17"/>
      <c r="D650" s="67"/>
      <c r="E650" s="72"/>
      <c r="F650" s="1"/>
      <c r="G650" s="1"/>
      <c r="H650" s="1"/>
      <c r="I650" s="1"/>
      <c r="J650" s="1"/>
      <c r="K650" s="1"/>
      <c r="L650" s="1"/>
      <c r="M650" s="1"/>
      <c r="N650" s="1"/>
    </row>
    <row r="651" ht="27.75" customHeight="1">
      <c r="A651" s="1"/>
      <c r="B651" s="16"/>
      <c r="C651" s="17"/>
      <c r="D651" s="67"/>
      <c r="E651" s="72"/>
      <c r="F651" s="1"/>
      <c r="G651" s="1"/>
      <c r="H651" s="1"/>
      <c r="I651" s="1"/>
      <c r="J651" s="1"/>
      <c r="K651" s="1"/>
      <c r="L651" s="1"/>
      <c r="M651" s="1"/>
      <c r="N651" s="1"/>
    </row>
    <row r="652" ht="27.75" customHeight="1">
      <c r="A652" s="1"/>
      <c r="B652" s="16"/>
      <c r="C652" s="17"/>
      <c r="D652" s="67"/>
      <c r="E652" s="72"/>
      <c r="F652" s="1"/>
      <c r="G652" s="1"/>
      <c r="H652" s="1"/>
      <c r="I652" s="1"/>
      <c r="J652" s="1"/>
      <c r="K652" s="1"/>
      <c r="L652" s="1"/>
      <c r="M652" s="1"/>
      <c r="N652" s="1"/>
    </row>
    <row r="653" ht="27.75" customHeight="1">
      <c r="A653" s="1"/>
      <c r="B653" s="16"/>
      <c r="C653" s="17"/>
      <c r="D653" s="67"/>
      <c r="E653" s="72"/>
      <c r="F653" s="1"/>
      <c r="G653" s="1"/>
      <c r="H653" s="1"/>
      <c r="I653" s="1"/>
      <c r="J653" s="1"/>
      <c r="K653" s="1"/>
      <c r="L653" s="1"/>
      <c r="M653" s="1"/>
      <c r="N653" s="1"/>
    </row>
    <row r="654" ht="27.75" customHeight="1">
      <c r="A654" s="1"/>
      <c r="B654" s="16"/>
      <c r="C654" s="17"/>
      <c r="D654" s="67"/>
      <c r="E654" s="72"/>
      <c r="F654" s="1"/>
      <c r="G654" s="1"/>
      <c r="H654" s="1"/>
      <c r="I654" s="1"/>
      <c r="J654" s="1"/>
      <c r="K654" s="1"/>
      <c r="L654" s="1"/>
      <c r="M654" s="1"/>
      <c r="N654" s="1"/>
    </row>
    <row r="655" ht="27.75" customHeight="1">
      <c r="A655" s="1"/>
      <c r="B655" s="16"/>
      <c r="C655" s="17"/>
      <c r="D655" s="67"/>
      <c r="E655" s="72"/>
      <c r="F655" s="1"/>
      <c r="G655" s="1"/>
      <c r="H655" s="1"/>
      <c r="I655" s="1"/>
      <c r="J655" s="1"/>
      <c r="K655" s="1"/>
      <c r="L655" s="1"/>
      <c r="M655" s="1"/>
      <c r="N655" s="1"/>
    </row>
    <row r="656" ht="27.75" customHeight="1">
      <c r="A656" s="1"/>
      <c r="B656" s="16"/>
      <c r="C656" s="17"/>
      <c r="D656" s="67"/>
      <c r="E656" s="72"/>
      <c r="F656" s="1"/>
      <c r="G656" s="1"/>
      <c r="H656" s="1"/>
      <c r="I656" s="1"/>
      <c r="J656" s="1"/>
      <c r="K656" s="1"/>
      <c r="L656" s="1"/>
      <c r="M656" s="1"/>
      <c r="N656" s="1"/>
    </row>
    <row r="657" ht="27.75" customHeight="1">
      <c r="A657" s="1"/>
      <c r="B657" s="16"/>
      <c r="C657" s="17"/>
      <c r="D657" s="67"/>
      <c r="E657" s="72"/>
      <c r="F657" s="1"/>
      <c r="G657" s="1"/>
      <c r="H657" s="1"/>
      <c r="I657" s="1"/>
      <c r="J657" s="1"/>
      <c r="K657" s="1"/>
      <c r="L657" s="1"/>
      <c r="M657" s="1"/>
      <c r="N657" s="1"/>
    </row>
    <row r="658" ht="27.75" customHeight="1">
      <c r="A658" s="1"/>
      <c r="B658" s="16"/>
      <c r="C658" s="17"/>
      <c r="D658" s="67"/>
      <c r="E658" s="72"/>
      <c r="F658" s="1"/>
      <c r="G658" s="1"/>
      <c r="H658" s="1"/>
      <c r="I658" s="1"/>
      <c r="J658" s="1"/>
      <c r="K658" s="1"/>
      <c r="L658" s="1"/>
      <c r="M658" s="1"/>
      <c r="N658" s="1"/>
    </row>
    <row r="659" ht="27.75" customHeight="1">
      <c r="A659" s="1"/>
      <c r="B659" s="16"/>
      <c r="C659" s="17"/>
      <c r="D659" s="67"/>
      <c r="E659" s="72"/>
      <c r="F659" s="1"/>
      <c r="G659" s="1"/>
      <c r="H659" s="1"/>
      <c r="I659" s="1"/>
      <c r="J659" s="1"/>
      <c r="K659" s="1"/>
      <c r="L659" s="1"/>
      <c r="M659" s="1"/>
      <c r="N659" s="1"/>
    </row>
    <row r="660" ht="27.75" customHeight="1">
      <c r="A660" s="1"/>
      <c r="B660" s="16"/>
      <c r="C660" s="17"/>
      <c r="D660" s="67"/>
      <c r="E660" s="72"/>
      <c r="F660" s="1"/>
      <c r="G660" s="1"/>
      <c r="H660" s="1"/>
      <c r="I660" s="1"/>
      <c r="J660" s="1"/>
      <c r="K660" s="1"/>
      <c r="L660" s="1"/>
      <c r="M660" s="1"/>
      <c r="N660" s="1"/>
    </row>
    <row r="661" ht="27.75" customHeight="1">
      <c r="A661" s="1"/>
      <c r="B661" s="16"/>
      <c r="C661" s="17"/>
      <c r="D661" s="67"/>
      <c r="E661" s="72"/>
      <c r="F661" s="1"/>
      <c r="G661" s="1"/>
      <c r="H661" s="1"/>
      <c r="I661" s="1"/>
      <c r="J661" s="1"/>
      <c r="K661" s="1"/>
      <c r="L661" s="1"/>
      <c r="M661" s="1"/>
      <c r="N661" s="1"/>
    </row>
    <row r="662" ht="27.75" customHeight="1">
      <c r="A662" s="1"/>
      <c r="B662" s="16"/>
      <c r="C662" s="17"/>
      <c r="D662" s="67"/>
      <c r="E662" s="72"/>
      <c r="F662" s="1"/>
      <c r="G662" s="1"/>
      <c r="H662" s="1"/>
      <c r="I662" s="1"/>
      <c r="J662" s="1"/>
      <c r="K662" s="1"/>
      <c r="L662" s="1"/>
      <c r="M662" s="1"/>
      <c r="N662" s="1"/>
    </row>
    <row r="663" ht="27.75" customHeight="1">
      <c r="A663" s="1"/>
      <c r="B663" s="16"/>
      <c r="C663" s="17"/>
      <c r="D663" s="67"/>
      <c r="E663" s="72"/>
      <c r="F663" s="1"/>
      <c r="G663" s="1"/>
      <c r="H663" s="1"/>
      <c r="I663" s="1"/>
      <c r="J663" s="1"/>
      <c r="K663" s="1"/>
      <c r="L663" s="1"/>
      <c r="M663" s="1"/>
      <c r="N663" s="1"/>
    </row>
    <row r="664" ht="27.75" customHeight="1">
      <c r="A664" s="1"/>
      <c r="B664" s="16"/>
      <c r="C664" s="17"/>
      <c r="D664" s="67"/>
      <c r="E664" s="72"/>
      <c r="F664" s="1"/>
      <c r="G664" s="1"/>
      <c r="H664" s="1"/>
      <c r="I664" s="1"/>
      <c r="J664" s="1"/>
      <c r="K664" s="1"/>
      <c r="L664" s="1"/>
      <c r="M664" s="1"/>
      <c r="N664" s="1"/>
    </row>
    <row r="665" ht="27.75" customHeight="1">
      <c r="A665" s="1"/>
      <c r="B665" s="16"/>
      <c r="C665" s="17"/>
      <c r="D665" s="67"/>
      <c r="E665" s="72"/>
      <c r="F665" s="1"/>
      <c r="G665" s="1"/>
      <c r="H665" s="1"/>
      <c r="I665" s="1"/>
      <c r="J665" s="1"/>
      <c r="K665" s="1"/>
      <c r="L665" s="1"/>
      <c r="M665" s="1"/>
      <c r="N665" s="1"/>
    </row>
    <row r="666" ht="27.75" customHeight="1">
      <c r="A666" s="1"/>
      <c r="B666" s="16"/>
      <c r="C666" s="17"/>
      <c r="D666" s="67"/>
      <c r="E666" s="72"/>
      <c r="F666" s="1"/>
      <c r="G666" s="1"/>
      <c r="H666" s="1"/>
      <c r="I666" s="1"/>
      <c r="J666" s="1"/>
      <c r="K666" s="1"/>
      <c r="L666" s="1"/>
      <c r="M666" s="1"/>
      <c r="N666" s="1"/>
    </row>
    <row r="667" ht="27.75" customHeight="1">
      <c r="A667" s="1"/>
      <c r="B667" s="16"/>
      <c r="C667" s="17"/>
      <c r="D667" s="67"/>
      <c r="E667" s="72"/>
      <c r="F667" s="1"/>
      <c r="G667" s="1"/>
      <c r="H667" s="1"/>
      <c r="I667" s="1"/>
      <c r="J667" s="1"/>
      <c r="K667" s="1"/>
      <c r="L667" s="1"/>
      <c r="M667" s="1"/>
      <c r="N667" s="1"/>
    </row>
    <row r="668" ht="27.75" customHeight="1">
      <c r="A668" s="1"/>
      <c r="B668" s="16"/>
      <c r="C668" s="17"/>
      <c r="D668" s="67"/>
      <c r="E668" s="72"/>
      <c r="F668" s="1"/>
      <c r="G668" s="1"/>
      <c r="H668" s="1"/>
      <c r="I668" s="1"/>
      <c r="J668" s="1"/>
      <c r="K668" s="1"/>
      <c r="L668" s="1"/>
      <c r="M668" s="1"/>
      <c r="N668" s="1"/>
    </row>
    <row r="669" ht="27.75" customHeight="1">
      <c r="A669" s="1"/>
      <c r="B669" s="16"/>
      <c r="C669" s="17"/>
      <c r="D669" s="67"/>
      <c r="E669" s="72"/>
      <c r="F669" s="1"/>
      <c r="G669" s="1"/>
      <c r="H669" s="1"/>
      <c r="I669" s="1"/>
      <c r="J669" s="1"/>
      <c r="K669" s="1"/>
      <c r="L669" s="1"/>
      <c r="M669" s="1"/>
      <c r="N669" s="1"/>
    </row>
    <row r="670" ht="27.75" customHeight="1">
      <c r="A670" s="1"/>
      <c r="B670" s="16"/>
      <c r="C670" s="17"/>
      <c r="D670" s="67"/>
      <c r="E670" s="72"/>
      <c r="F670" s="1"/>
      <c r="G670" s="1"/>
      <c r="H670" s="1"/>
      <c r="I670" s="1"/>
      <c r="J670" s="1"/>
      <c r="K670" s="1"/>
      <c r="L670" s="1"/>
      <c r="M670" s="1"/>
      <c r="N670" s="1"/>
    </row>
    <row r="671" ht="27.75" customHeight="1">
      <c r="A671" s="1"/>
      <c r="B671" s="16"/>
      <c r="C671" s="17"/>
      <c r="D671" s="67"/>
      <c r="E671" s="72"/>
      <c r="F671" s="1"/>
      <c r="G671" s="1"/>
      <c r="H671" s="1"/>
      <c r="I671" s="1"/>
      <c r="J671" s="1"/>
      <c r="K671" s="1"/>
      <c r="L671" s="1"/>
      <c r="M671" s="1"/>
      <c r="N671" s="1"/>
    </row>
    <row r="672" ht="27.75" customHeight="1">
      <c r="A672" s="1"/>
      <c r="B672" s="16"/>
      <c r="C672" s="17"/>
      <c r="D672" s="67"/>
      <c r="E672" s="72"/>
      <c r="F672" s="1"/>
      <c r="G672" s="1"/>
      <c r="H672" s="1"/>
      <c r="I672" s="1"/>
      <c r="J672" s="1"/>
      <c r="K672" s="1"/>
      <c r="L672" s="1"/>
      <c r="M672" s="1"/>
      <c r="N672" s="1"/>
    </row>
    <row r="673" ht="27.75" customHeight="1">
      <c r="A673" s="1"/>
      <c r="B673" s="16"/>
      <c r="C673" s="17"/>
      <c r="D673" s="67"/>
      <c r="E673" s="72"/>
      <c r="F673" s="1"/>
      <c r="G673" s="1"/>
      <c r="H673" s="1"/>
      <c r="I673" s="1"/>
      <c r="J673" s="1"/>
      <c r="K673" s="1"/>
      <c r="L673" s="1"/>
      <c r="M673" s="1"/>
      <c r="N673" s="1"/>
    </row>
    <row r="674" ht="27.75" customHeight="1">
      <c r="A674" s="1"/>
      <c r="B674" s="16"/>
      <c r="C674" s="17"/>
      <c r="D674" s="67"/>
      <c r="E674" s="72"/>
      <c r="F674" s="1"/>
      <c r="G674" s="1"/>
      <c r="H674" s="1"/>
      <c r="I674" s="1"/>
      <c r="J674" s="1"/>
      <c r="K674" s="1"/>
      <c r="L674" s="1"/>
      <c r="M674" s="1"/>
      <c r="N674" s="1"/>
    </row>
    <row r="675" ht="27.75" customHeight="1">
      <c r="A675" s="1"/>
      <c r="B675" s="16"/>
      <c r="C675" s="17"/>
      <c r="D675" s="67"/>
      <c r="E675" s="72"/>
      <c r="F675" s="1"/>
      <c r="G675" s="1"/>
      <c r="H675" s="1"/>
      <c r="I675" s="1"/>
      <c r="J675" s="1"/>
      <c r="K675" s="1"/>
      <c r="L675" s="1"/>
      <c r="M675" s="1"/>
      <c r="N675" s="1"/>
    </row>
    <row r="676" ht="27.75" customHeight="1">
      <c r="A676" s="1"/>
      <c r="B676" s="16"/>
      <c r="C676" s="17"/>
      <c r="D676" s="67"/>
      <c r="E676" s="72"/>
      <c r="F676" s="1"/>
      <c r="G676" s="1"/>
      <c r="H676" s="1"/>
      <c r="I676" s="1"/>
      <c r="J676" s="1"/>
      <c r="K676" s="1"/>
      <c r="L676" s="1"/>
      <c r="M676" s="1"/>
      <c r="N676" s="1"/>
    </row>
    <row r="677" ht="27.75" customHeight="1">
      <c r="A677" s="1"/>
      <c r="B677" s="16"/>
      <c r="C677" s="17"/>
      <c r="D677" s="67"/>
      <c r="E677" s="72"/>
      <c r="F677" s="1"/>
      <c r="G677" s="1"/>
      <c r="H677" s="1"/>
      <c r="I677" s="1"/>
      <c r="J677" s="1"/>
      <c r="K677" s="1"/>
      <c r="L677" s="1"/>
      <c r="M677" s="1"/>
      <c r="N677" s="1"/>
    </row>
    <row r="678" ht="27.75" customHeight="1">
      <c r="A678" s="1"/>
      <c r="B678" s="16"/>
      <c r="C678" s="17"/>
      <c r="D678" s="67"/>
      <c r="E678" s="72"/>
      <c r="F678" s="1"/>
      <c r="G678" s="1"/>
      <c r="H678" s="1"/>
      <c r="I678" s="1"/>
      <c r="J678" s="1"/>
      <c r="K678" s="1"/>
      <c r="L678" s="1"/>
      <c r="M678" s="1"/>
      <c r="N678" s="1"/>
    </row>
    <row r="679" ht="27.75" customHeight="1">
      <c r="A679" s="1"/>
      <c r="B679" s="16"/>
      <c r="C679" s="17"/>
      <c r="D679" s="67"/>
      <c r="E679" s="72"/>
      <c r="F679" s="1"/>
      <c r="G679" s="1"/>
      <c r="H679" s="1"/>
      <c r="I679" s="1"/>
      <c r="J679" s="1"/>
      <c r="K679" s="1"/>
      <c r="L679" s="1"/>
      <c r="M679" s="1"/>
      <c r="N679" s="1"/>
    </row>
    <row r="680" ht="27.75" customHeight="1">
      <c r="A680" s="1"/>
      <c r="B680" s="16"/>
      <c r="C680" s="17"/>
      <c r="D680" s="67"/>
      <c r="E680" s="72"/>
      <c r="F680" s="1"/>
      <c r="G680" s="1"/>
      <c r="H680" s="1"/>
      <c r="I680" s="1"/>
      <c r="J680" s="1"/>
      <c r="K680" s="1"/>
      <c r="L680" s="1"/>
      <c r="M680" s="1"/>
      <c r="N680" s="1"/>
    </row>
    <row r="681" ht="27.75" customHeight="1">
      <c r="A681" s="1"/>
      <c r="B681" s="16"/>
      <c r="C681" s="17"/>
      <c r="D681" s="67"/>
      <c r="E681" s="72"/>
      <c r="F681" s="1"/>
      <c r="G681" s="1"/>
      <c r="H681" s="1"/>
      <c r="I681" s="1"/>
      <c r="J681" s="1"/>
      <c r="K681" s="1"/>
      <c r="L681" s="1"/>
      <c r="M681" s="1"/>
      <c r="N681" s="1"/>
    </row>
    <row r="682" ht="27.75" customHeight="1">
      <c r="A682" s="1"/>
      <c r="B682" s="16"/>
      <c r="C682" s="17"/>
      <c r="D682" s="67"/>
      <c r="E682" s="72"/>
      <c r="F682" s="1"/>
      <c r="G682" s="1"/>
      <c r="H682" s="1"/>
      <c r="I682" s="1"/>
      <c r="J682" s="1"/>
      <c r="K682" s="1"/>
      <c r="L682" s="1"/>
      <c r="M682" s="1"/>
      <c r="N682" s="1"/>
    </row>
    <row r="683" ht="27.75" customHeight="1">
      <c r="A683" s="1"/>
      <c r="B683" s="16"/>
      <c r="C683" s="17"/>
      <c r="D683" s="67"/>
      <c r="E683" s="72"/>
      <c r="F683" s="1"/>
      <c r="G683" s="1"/>
      <c r="H683" s="1"/>
      <c r="I683" s="1"/>
      <c r="J683" s="1"/>
      <c r="K683" s="1"/>
      <c r="L683" s="1"/>
      <c r="M683" s="1"/>
      <c r="N683" s="1"/>
    </row>
    <row r="684" ht="27.75" customHeight="1">
      <c r="A684" s="1"/>
      <c r="B684" s="16"/>
      <c r="C684" s="17"/>
      <c r="D684" s="67"/>
      <c r="E684" s="72"/>
      <c r="F684" s="1"/>
      <c r="G684" s="1"/>
      <c r="H684" s="1"/>
      <c r="I684" s="1"/>
      <c r="J684" s="1"/>
      <c r="K684" s="1"/>
      <c r="L684" s="1"/>
      <c r="M684" s="1"/>
      <c r="N684" s="1"/>
    </row>
    <row r="685" ht="27.75" customHeight="1">
      <c r="A685" s="1"/>
      <c r="B685" s="16"/>
      <c r="C685" s="17"/>
      <c r="D685" s="67"/>
      <c r="E685" s="72"/>
      <c r="F685" s="1"/>
      <c r="G685" s="1"/>
      <c r="H685" s="1"/>
      <c r="I685" s="1"/>
      <c r="J685" s="1"/>
      <c r="K685" s="1"/>
      <c r="L685" s="1"/>
      <c r="M685" s="1"/>
      <c r="N685" s="1"/>
    </row>
    <row r="686" ht="27.75" customHeight="1">
      <c r="A686" s="1"/>
      <c r="B686" s="16"/>
      <c r="C686" s="17"/>
      <c r="D686" s="67"/>
      <c r="E686" s="72"/>
      <c r="F686" s="1"/>
      <c r="G686" s="1"/>
      <c r="H686" s="1"/>
      <c r="I686" s="1"/>
      <c r="J686" s="1"/>
      <c r="K686" s="1"/>
      <c r="L686" s="1"/>
      <c r="M686" s="1"/>
      <c r="N686" s="1"/>
    </row>
    <row r="687" ht="27.75" customHeight="1">
      <c r="A687" s="1"/>
      <c r="B687" s="16"/>
      <c r="C687" s="17"/>
      <c r="D687" s="67"/>
      <c r="E687" s="72"/>
      <c r="F687" s="1"/>
      <c r="G687" s="1"/>
      <c r="H687" s="1"/>
      <c r="I687" s="1"/>
      <c r="J687" s="1"/>
      <c r="K687" s="1"/>
      <c r="L687" s="1"/>
      <c r="M687" s="1"/>
      <c r="N687" s="1"/>
    </row>
    <row r="688" ht="27.75" customHeight="1">
      <c r="A688" s="1"/>
      <c r="B688" s="16"/>
      <c r="C688" s="17"/>
      <c r="D688" s="67"/>
      <c r="E688" s="72"/>
      <c r="F688" s="1"/>
      <c r="G688" s="1"/>
      <c r="H688" s="1"/>
      <c r="I688" s="1"/>
      <c r="J688" s="1"/>
      <c r="K688" s="1"/>
      <c r="L688" s="1"/>
      <c r="M688" s="1"/>
      <c r="N688" s="1"/>
    </row>
    <row r="689" ht="27.75" customHeight="1">
      <c r="A689" s="1"/>
      <c r="B689" s="16"/>
      <c r="C689" s="17"/>
      <c r="D689" s="67"/>
      <c r="E689" s="72"/>
      <c r="F689" s="1"/>
      <c r="G689" s="1"/>
      <c r="H689" s="1"/>
      <c r="I689" s="1"/>
      <c r="J689" s="1"/>
      <c r="K689" s="1"/>
      <c r="L689" s="1"/>
      <c r="M689" s="1"/>
      <c r="N689" s="1"/>
    </row>
    <row r="690" ht="27.75" customHeight="1">
      <c r="A690" s="1"/>
      <c r="B690" s="16"/>
      <c r="C690" s="17"/>
      <c r="D690" s="67"/>
      <c r="E690" s="72"/>
      <c r="F690" s="1"/>
      <c r="G690" s="1"/>
      <c r="H690" s="1"/>
      <c r="I690" s="1"/>
      <c r="J690" s="1"/>
      <c r="K690" s="1"/>
      <c r="L690" s="1"/>
      <c r="M690" s="1"/>
      <c r="N690" s="1"/>
    </row>
    <row r="691" ht="27.75" customHeight="1">
      <c r="A691" s="1"/>
      <c r="B691" s="16"/>
      <c r="C691" s="17"/>
      <c r="D691" s="67"/>
      <c r="E691" s="72"/>
      <c r="F691" s="1"/>
      <c r="G691" s="1"/>
      <c r="H691" s="1"/>
      <c r="I691" s="1"/>
      <c r="J691" s="1"/>
      <c r="K691" s="1"/>
      <c r="L691" s="1"/>
      <c r="M691" s="1"/>
      <c r="N691" s="1"/>
    </row>
    <row r="692" ht="27.75" customHeight="1">
      <c r="A692" s="1"/>
      <c r="B692" s="16"/>
      <c r="C692" s="17"/>
      <c r="D692" s="67"/>
      <c r="E692" s="72"/>
      <c r="F692" s="1"/>
      <c r="G692" s="1"/>
      <c r="H692" s="1"/>
      <c r="I692" s="1"/>
      <c r="J692" s="1"/>
      <c r="K692" s="1"/>
      <c r="L692" s="1"/>
      <c r="M692" s="1"/>
      <c r="N692" s="1"/>
    </row>
    <row r="693" ht="27.75" customHeight="1">
      <c r="A693" s="1"/>
      <c r="B693" s="16"/>
      <c r="C693" s="17"/>
      <c r="D693" s="67"/>
      <c r="E693" s="72"/>
      <c r="F693" s="1"/>
      <c r="G693" s="1"/>
      <c r="H693" s="1"/>
      <c r="I693" s="1"/>
      <c r="J693" s="1"/>
      <c r="K693" s="1"/>
      <c r="L693" s="1"/>
      <c r="M693" s="1"/>
      <c r="N693" s="1"/>
    </row>
    <row r="694" ht="27.75" customHeight="1">
      <c r="A694" s="1"/>
      <c r="B694" s="16"/>
      <c r="C694" s="17"/>
      <c r="D694" s="67"/>
      <c r="E694" s="72"/>
      <c r="F694" s="1"/>
      <c r="G694" s="1"/>
      <c r="H694" s="1"/>
      <c r="I694" s="1"/>
      <c r="J694" s="1"/>
      <c r="K694" s="1"/>
      <c r="L694" s="1"/>
      <c r="M694" s="1"/>
      <c r="N694" s="1"/>
    </row>
    <row r="695" ht="27.75" customHeight="1">
      <c r="A695" s="1"/>
      <c r="B695" s="16"/>
      <c r="C695" s="17"/>
      <c r="D695" s="67"/>
      <c r="E695" s="72"/>
      <c r="F695" s="1"/>
      <c r="G695" s="1"/>
      <c r="H695" s="1"/>
      <c r="I695" s="1"/>
      <c r="J695" s="1"/>
      <c r="K695" s="1"/>
      <c r="L695" s="1"/>
      <c r="M695" s="1"/>
      <c r="N695" s="1"/>
    </row>
    <row r="696" ht="27.75" customHeight="1">
      <c r="A696" s="1"/>
      <c r="B696" s="16"/>
      <c r="C696" s="17"/>
      <c r="D696" s="67"/>
      <c r="E696" s="72"/>
      <c r="F696" s="1"/>
      <c r="G696" s="1"/>
      <c r="H696" s="1"/>
      <c r="I696" s="1"/>
      <c r="J696" s="1"/>
      <c r="K696" s="1"/>
      <c r="L696" s="1"/>
      <c r="M696" s="1"/>
      <c r="N696" s="1"/>
    </row>
    <row r="697" ht="27.75" customHeight="1">
      <c r="A697" s="1"/>
      <c r="B697" s="16"/>
      <c r="C697" s="17"/>
      <c r="D697" s="67"/>
      <c r="E697" s="72"/>
      <c r="F697" s="1"/>
      <c r="G697" s="1"/>
      <c r="H697" s="1"/>
      <c r="I697" s="1"/>
      <c r="J697" s="1"/>
      <c r="K697" s="1"/>
      <c r="L697" s="1"/>
      <c r="M697" s="1"/>
      <c r="N697" s="1"/>
    </row>
    <row r="698" ht="27.75" customHeight="1">
      <c r="A698" s="1"/>
      <c r="B698" s="16"/>
      <c r="C698" s="17"/>
      <c r="D698" s="67"/>
      <c r="E698" s="72"/>
      <c r="F698" s="1"/>
      <c r="G698" s="1"/>
      <c r="H698" s="1"/>
      <c r="I698" s="1"/>
      <c r="J698" s="1"/>
      <c r="K698" s="1"/>
      <c r="L698" s="1"/>
      <c r="M698" s="1"/>
      <c r="N698" s="1"/>
    </row>
    <row r="699" ht="27.75" customHeight="1">
      <c r="A699" s="1"/>
      <c r="B699" s="16"/>
      <c r="C699" s="17"/>
      <c r="D699" s="67"/>
      <c r="E699" s="72"/>
      <c r="F699" s="1"/>
      <c r="G699" s="1"/>
      <c r="H699" s="1"/>
      <c r="I699" s="1"/>
      <c r="J699" s="1"/>
      <c r="K699" s="1"/>
      <c r="L699" s="1"/>
      <c r="M699" s="1"/>
      <c r="N699" s="1"/>
    </row>
    <row r="700" ht="27.75" customHeight="1">
      <c r="A700" s="1"/>
      <c r="B700" s="16"/>
      <c r="C700" s="17"/>
      <c r="D700" s="67"/>
      <c r="E700" s="72"/>
      <c r="F700" s="1"/>
      <c r="G700" s="1"/>
      <c r="H700" s="1"/>
      <c r="I700" s="1"/>
      <c r="J700" s="1"/>
      <c r="K700" s="1"/>
      <c r="L700" s="1"/>
      <c r="M700" s="1"/>
      <c r="N700" s="1"/>
    </row>
    <row r="701" ht="27.75" customHeight="1">
      <c r="A701" s="1"/>
      <c r="B701" s="16"/>
      <c r="C701" s="17"/>
      <c r="D701" s="67"/>
      <c r="E701" s="72"/>
      <c r="F701" s="1"/>
      <c r="G701" s="1"/>
      <c r="H701" s="1"/>
      <c r="I701" s="1"/>
      <c r="J701" s="1"/>
      <c r="K701" s="1"/>
      <c r="L701" s="1"/>
      <c r="M701" s="1"/>
      <c r="N701" s="1"/>
    </row>
    <row r="702" ht="27.75" customHeight="1">
      <c r="A702" s="1"/>
      <c r="B702" s="16"/>
      <c r="C702" s="17"/>
      <c r="D702" s="67"/>
      <c r="E702" s="72"/>
      <c r="F702" s="1"/>
      <c r="G702" s="1"/>
      <c r="H702" s="1"/>
      <c r="I702" s="1"/>
      <c r="J702" s="1"/>
      <c r="K702" s="1"/>
      <c r="L702" s="1"/>
      <c r="M702" s="1"/>
      <c r="N702" s="1"/>
    </row>
    <row r="703" ht="27.75" customHeight="1">
      <c r="A703" s="1"/>
      <c r="B703" s="16"/>
      <c r="C703" s="17"/>
      <c r="D703" s="67"/>
      <c r="E703" s="72"/>
      <c r="F703" s="1"/>
      <c r="G703" s="1"/>
      <c r="H703" s="1"/>
      <c r="I703" s="1"/>
      <c r="J703" s="1"/>
      <c r="K703" s="1"/>
      <c r="L703" s="1"/>
      <c r="M703" s="1"/>
      <c r="N703" s="1"/>
    </row>
    <row r="704" ht="27.75" customHeight="1">
      <c r="A704" s="1"/>
      <c r="B704" s="16"/>
      <c r="C704" s="17"/>
      <c r="D704" s="67"/>
      <c r="E704" s="72"/>
      <c r="F704" s="1"/>
      <c r="G704" s="1"/>
      <c r="H704" s="1"/>
      <c r="I704" s="1"/>
      <c r="J704" s="1"/>
      <c r="K704" s="1"/>
      <c r="L704" s="1"/>
      <c r="M704" s="1"/>
      <c r="N704" s="1"/>
    </row>
    <row r="705" ht="27.75" customHeight="1">
      <c r="A705" s="1"/>
      <c r="B705" s="16"/>
      <c r="C705" s="17"/>
      <c r="D705" s="67"/>
      <c r="E705" s="72"/>
      <c r="F705" s="1"/>
      <c r="G705" s="1"/>
      <c r="H705" s="1"/>
      <c r="I705" s="1"/>
      <c r="J705" s="1"/>
      <c r="K705" s="1"/>
      <c r="L705" s="1"/>
      <c r="M705" s="1"/>
      <c r="N705" s="1"/>
    </row>
    <row r="706" ht="27.75" customHeight="1">
      <c r="A706" s="1"/>
      <c r="B706" s="16"/>
      <c r="C706" s="17"/>
      <c r="D706" s="67"/>
      <c r="E706" s="72"/>
      <c r="F706" s="1"/>
      <c r="G706" s="1"/>
      <c r="H706" s="1"/>
      <c r="I706" s="1"/>
      <c r="J706" s="1"/>
      <c r="K706" s="1"/>
      <c r="L706" s="1"/>
      <c r="M706" s="1"/>
      <c r="N706" s="1"/>
    </row>
    <row r="707" ht="27.75" customHeight="1">
      <c r="A707" s="1"/>
      <c r="B707" s="16"/>
      <c r="C707" s="17"/>
      <c r="D707" s="67"/>
      <c r="E707" s="72"/>
      <c r="F707" s="1"/>
      <c r="G707" s="1"/>
      <c r="H707" s="1"/>
      <c r="I707" s="1"/>
      <c r="J707" s="1"/>
      <c r="K707" s="1"/>
      <c r="L707" s="1"/>
      <c r="M707" s="1"/>
      <c r="N707" s="1"/>
    </row>
    <row r="708" ht="27.75" customHeight="1">
      <c r="A708" s="1"/>
      <c r="B708" s="16"/>
      <c r="C708" s="17"/>
      <c r="D708" s="67"/>
      <c r="E708" s="72"/>
      <c r="F708" s="1"/>
      <c r="G708" s="1"/>
      <c r="H708" s="1"/>
      <c r="I708" s="1"/>
      <c r="J708" s="1"/>
      <c r="K708" s="1"/>
      <c r="L708" s="1"/>
      <c r="M708" s="1"/>
      <c r="N708" s="1"/>
    </row>
    <row r="709" ht="27.75" customHeight="1">
      <c r="A709" s="1"/>
      <c r="B709" s="16"/>
      <c r="C709" s="17"/>
      <c r="D709" s="67"/>
      <c r="E709" s="72"/>
      <c r="F709" s="1"/>
      <c r="G709" s="1"/>
      <c r="H709" s="1"/>
      <c r="I709" s="1"/>
      <c r="J709" s="1"/>
      <c r="K709" s="1"/>
      <c r="L709" s="1"/>
      <c r="M709" s="1"/>
      <c r="N709" s="1"/>
    </row>
    <row r="710" ht="27.75" customHeight="1">
      <c r="A710" s="1"/>
      <c r="B710" s="16"/>
      <c r="C710" s="17"/>
      <c r="D710" s="67"/>
      <c r="E710" s="72"/>
      <c r="F710" s="1"/>
      <c r="G710" s="1"/>
      <c r="H710" s="1"/>
      <c r="I710" s="1"/>
      <c r="J710" s="1"/>
      <c r="K710" s="1"/>
      <c r="L710" s="1"/>
      <c r="M710" s="1"/>
      <c r="N710" s="1"/>
    </row>
    <row r="711" ht="27.75" customHeight="1">
      <c r="A711" s="1"/>
      <c r="B711" s="16"/>
      <c r="C711" s="17"/>
      <c r="D711" s="67"/>
      <c r="E711" s="72"/>
      <c r="F711" s="1"/>
      <c r="G711" s="1"/>
      <c r="H711" s="1"/>
      <c r="I711" s="1"/>
      <c r="J711" s="1"/>
      <c r="K711" s="1"/>
      <c r="L711" s="1"/>
      <c r="M711" s="1"/>
      <c r="N711" s="1"/>
    </row>
    <row r="712" ht="27.75" customHeight="1">
      <c r="A712" s="1"/>
      <c r="B712" s="16"/>
      <c r="C712" s="17"/>
      <c r="D712" s="67"/>
      <c r="E712" s="72"/>
      <c r="F712" s="1"/>
      <c r="G712" s="1"/>
      <c r="H712" s="1"/>
      <c r="I712" s="1"/>
      <c r="J712" s="1"/>
      <c r="K712" s="1"/>
      <c r="L712" s="1"/>
      <c r="M712" s="1"/>
      <c r="N712" s="1"/>
    </row>
    <row r="713" ht="27.75" customHeight="1">
      <c r="A713" s="1"/>
      <c r="B713" s="16"/>
      <c r="C713" s="17"/>
      <c r="D713" s="67"/>
      <c r="E713" s="72"/>
      <c r="F713" s="1"/>
      <c r="G713" s="1"/>
      <c r="H713" s="1"/>
      <c r="I713" s="1"/>
      <c r="J713" s="1"/>
      <c r="K713" s="1"/>
      <c r="L713" s="1"/>
      <c r="M713" s="1"/>
      <c r="N713" s="1"/>
    </row>
    <row r="714" ht="27.75" customHeight="1">
      <c r="A714" s="1"/>
      <c r="B714" s="16"/>
      <c r="C714" s="17"/>
      <c r="D714" s="67"/>
      <c r="E714" s="72"/>
      <c r="F714" s="1"/>
      <c r="G714" s="1"/>
      <c r="H714" s="1"/>
      <c r="I714" s="1"/>
      <c r="J714" s="1"/>
      <c r="K714" s="1"/>
      <c r="L714" s="1"/>
      <c r="M714" s="1"/>
      <c r="N714" s="1"/>
    </row>
    <row r="715" ht="27.75" customHeight="1">
      <c r="A715" s="1"/>
      <c r="B715" s="16"/>
      <c r="C715" s="17"/>
      <c r="D715" s="67"/>
      <c r="E715" s="72"/>
      <c r="F715" s="1"/>
      <c r="G715" s="1"/>
      <c r="H715" s="1"/>
      <c r="I715" s="1"/>
      <c r="J715" s="1"/>
      <c r="K715" s="1"/>
      <c r="L715" s="1"/>
      <c r="M715" s="1"/>
      <c r="N715" s="1"/>
    </row>
    <row r="716" ht="27.75" customHeight="1">
      <c r="A716" s="1"/>
      <c r="B716" s="16"/>
      <c r="C716" s="17"/>
      <c r="D716" s="67"/>
      <c r="E716" s="72"/>
      <c r="F716" s="1"/>
      <c r="G716" s="1"/>
      <c r="H716" s="1"/>
      <c r="I716" s="1"/>
      <c r="J716" s="1"/>
      <c r="K716" s="1"/>
      <c r="L716" s="1"/>
      <c r="M716" s="1"/>
      <c r="N716" s="1"/>
    </row>
    <row r="717" ht="27.75" customHeight="1">
      <c r="A717" s="1"/>
      <c r="B717" s="16"/>
      <c r="C717" s="17"/>
      <c r="D717" s="67"/>
      <c r="E717" s="72"/>
      <c r="F717" s="1"/>
      <c r="G717" s="1"/>
      <c r="H717" s="1"/>
      <c r="I717" s="1"/>
      <c r="J717" s="1"/>
      <c r="K717" s="1"/>
      <c r="L717" s="1"/>
      <c r="M717" s="1"/>
      <c r="N717" s="1"/>
    </row>
    <row r="718" ht="27.75" customHeight="1">
      <c r="A718" s="1"/>
      <c r="B718" s="16"/>
      <c r="C718" s="17"/>
      <c r="D718" s="67"/>
      <c r="E718" s="72"/>
      <c r="F718" s="1"/>
      <c r="G718" s="1"/>
      <c r="H718" s="1"/>
      <c r="I718" s="1"/>
      <c r="J718" s="1"/>
      <c r="K718" s="1"/>
      <c r="L718" s="1"/>
      <c r="M718" s="1"/>
      <c r="N718" s="1"/>
    </row>
    <row r="719" ht="27.75" customHeight="1">
      <c r="A719" s="1"/>
      <c r="B719" s="16"/>
      <c r="C719" s="17"/>
      <c r="D719" s="67"/>
      <c r="E719" s="72"/>
      <c r="F719" s="1"/>
      <c r="G719" s="1"/>
      <c r="H719" s="1"/>
      <c r="I719" s="1"/>
      <c r="J719" s="1"/>
      <c r="K719" s="1"/>
      <c r="L719" s="1"/>
      <c r="M719" s="1"/>
      <c r="N719" s="1"/>
    </row>
    <row r="720" ht="27.75" customHeight="1">
      <c r="A720" s="1"/>
      <c r="B720" s="16"/>
      <c r="C720" s="17"/>
      <c r="D720" s="67"/>
      <c r="E720" s="72"/>
      <c r="F720" s="1"/>
      <c r="G720" s="1"/>
      <c r="H720" s="1"/>
      <c r="I720" s="1"/>
      <c r="J720" s="1"/>
      <c r="K720" s="1"/>
      <c r="L720" s="1"/>
      <c r="M720" s="1"/>
      <c r="N720" s="1"/>
    </row>
    <row r="721" ht="27.75" customHeight="1">
      <c r="A721" s="1"/>
      <c r="B721" s="16"/>
      <c r="C721" s="17"/>
      <c r="D721" s="67"/>
      <c r="E721" s="72"/>
      <c r="F721" s="1"/>
      <c r="G721" s="1"/>
      <c r="H721" s="1"/>
      <c r="I721" s="1"/>
      <c r="J721" s="1"/>
      <c r="K721" s="1"/>
      <c r="L721" s="1"/>
      <c r="M721" s="1"/>
      <c r="N721" s="1"/>
    </row>
    <row r="722" ht="27.75" customHeight="1">
      <c r="A722" s="1"/>
      <c r="B722" s="16"/>
      <c r="C722" s="17"/>
      <c r="D722" s="67"/>
      <c r="E722" s="72"/>
      <c r="F722" s="1"/>
      <c r="G722" s="1"/>
      <c r="H722" s="1"/>
      <c r="I722" s="1"/>
      <c r="J722" s="1"/>
      <c r="K722" s="1"/>
      <c r="L722" s="1"/>
      <c r="M722" s="1"/>
      <c r="N722" s="1"/>
    </row>
    <row r="723" ht="27.75" customHeight="1">
      <c r="A723" s="1"/>
      <c r="B723" s="16"/>
      <c r="C723" s="17"/>
      <c r="D723" s="67"/>
      <c r="E723" s="72"/>
      <c r="F723" s="1"/>
      <c r="G723" s="1"/>
      <c r="H723" s="1"/>
      <c r="I723" s="1"/>
      <c r="J723" s="1"/>
      <c r="K723" s="1"/>
      <c r="L723" s="1"/>
      <c r="M723" s="1"/>
      <c r="N723" s="1"/>
    </row>
    <row r="724" ht="27.75" customHeight="1">
      <c r="A724" s="1"/>
      <c r="B724" s="16"/>
      <c r="C724" s="17"/>
      <c r="D724" s="67"/>
      <c r="E724" s="72"/>
      <c r="F724" s="1"/>
      <c r="G724" s="1"/>
      <c r="H724" s="1"/>
      <c r="I724" s="1"/>
      <c r="J724" s="1"/>
      <c r="K724" s="1"/>
      <c r="L724" s="1"/>
      <c r="M724" s="1"/>
      <c r="N724" s="1"/>
    </row>
    <row r="725" ht="27.75" customHeight="1">
      <c r="A725" s="1"/>
      <c r="B725" s="16"/>
      <c r="C725" s="17"/>
      <c r="D725" s="67"/>
      <c r="E725" s="72"/>
      <c r="F725" s="1"/>
      <c r="G725" s="1"/>
      <c r="H725" s="1"/>
      <c r="I725" s="1"/>
      <c r="J725" s="1"/>
      <c r="K725" s="1"/>
      <c r="L725" s="1"/>
      <c r="M725" s="1"/>
      <c r="N725" s="1"/>
    </row>
    <row r="726" ht="27.75" customHeight="1">
      <c r="A726" s="1"/>
      <c r="B726" s="16"/>
      <c r="C726" s="17"/>
      <c r="D726" s="67"/>
      <c r="E726" s="72"/>
      <c r="F726" s="1"/>
      <c r="G726" s="1"/>
      <c r="H726" s="1"/>
      <c r="I726" s="1"/>
      <c r="J726" s="1"/>
      <c r="K726" s="1"/>
      <c r="L726" s="1"/>
      <c r="M726" s="1"/>
      <c r="N726" s="1"/>
    </row>
    <row r="727" ht="27.75" customHeight="1">
      <c r="A727" s="1"/>
      <c r="B727" s="16"/>
      <c r="C727" s="17"/>
      <c r="D727" s="67"/>
      <c r="E727" s="72"/>
      <c r="F727" s="1"/>
      <c r="G727" s="1"/>
      <c r="H727" s="1"/>
      <c r="I727" s="1"/>
      <c r="J727" s="1"/>
      <c r="K727" s="1"/>
      <c r="L727" s="1"/>
      <c r="M727" s="1"/>
      <c r="N727" s="1"/>
    </row>
    <row r="728" ht="27.75" customHeight="1">
      <c r="A728" s="1"/>
      <c r="B728" s="16"/>
      <c r="C728" s="17"/>
      <c r="D728" s="67"/>
      <c r="E728" s="72"/>
      <c r="F728" s="1"/>
      <c r="G728" s="1"/>
      <c r="H728" s="1"/>
      <c r="I728" s="1"/>
      <c r="J728" s="1"/>
      <c r="K728" s="1"/>
      <c r="L728" s="1"/>
      <c r="M728" s="1"/>
      <c r="N728" s="1"/>
    </row>
    <row r="729" ht="27.75" customHeight="1">
      <c r="A729" s="1"/>
      <c r="B729" s="16"/>
      <c r="C729" s="17"/>
      <c r="D729" s="67"/>
      <c r="E729" s="72"/>
      <c r="F729" s="1"/>
      <c r="G729" s="1"/>
      <c r="H729" s="1"/>
      <c r="I729" s="1"/>
      <c r="J729" s="1"/>
      <c r="K729" s="1"/>
      <c r="L729" s="1"/>
      <c r="M729" s="1"/>
      <c r="N729" s="1"/>
    </row>
    <row r="730" ht="27.75" customHeight="1">
      <c r="A730" s="1"/>
      <c r="B730" s="16"/>
      <c r="C730" s="17"/>
      <c r="D730" s="67"/>
      <c r="E730" s="72"/>
      <c r="F730" s="1"/>
      <c r="G730" s="1"/>
      <c r="H730" s="1"/>
      <c r="I730" s="1"/>
      <c r="J730" s="1"/>
      <c r="K730" s="1"/>
      <c r="L730" s="1"/>
      <c r="M730" s="1"/>
      <c r="N730" s="1"/>
    </row>
    <row r="731" ht="27.75" customHeight="1">
      <c r="A731" s="1"/>
      <c r="B731" s="16"/>
      <c r="C731" s="17"/>
      <c r="D731" s="67"/>
      <c r="E731" s="72"/>
      <c r="F731" s="1"/>
      <c r="G731" s="1"/>
      <c r="H731" s="1"/>
      <c r="I731" s="1"/>
      <c r="J731" s="1"/>
      <c r="K731" s="1"/>
      <c r="L731" s="1"/>
      <c r="M731" s="1"/>
      <c r="N731" s="1"/>
    </row>
    <row r="732" ht="27.75" customHeight="1">
      <c r="A732" s="1"/>
      <c r="B732" s="16"/>
      <c r="C732" s="17"/>
      <c r="D732" s="67"/>
      <c r="E732" s="72"/>
      <c r="F732" s="1"/>
      <c r="G732" s="1"/>
      <c r="H732" s="1"/>
      <c r="I732" s="1"/>
      <c r="J732" s="1"/>
      <c r="K732" s="1"/>
      <c r="L732" s="1"/>
      <c r="M732" s="1"/>
      <c r="N732" s="1"/>
    </row>
    <row r="733" ht="27.75" customHeight="1">
      <c r="A733" s="1"/>
      <c r="B733" s="16"/>
      <c r="C733" s="17"/>
      <c r="D733" s="67"/>
      <c r="E733" s="72"/>
      <c r="F733" s="1"/>
      <c r="G733" s="1"/>
      <c r="H733" s="1"/>
      <c r="I733" s="1"/>
      <c r="J733" s="1"/>
      <c r="K733" s="1"/>
      <c r="L733" s="1"/>
      <c r="M733" s="1"/>
      <c r="N733" s="1"/>
    </row>
    <row r="734" ht="27.75" customHeight="1">
      <c r="A734" s="1"/>
      <c r="B734" s="16"/>
      <c r="C734" s="17"/>
      <c r="D734" s="67"/>
      <c r="E734" s="72"/>
      <c r="F734" s="1"/>
      <c r="G734" s="1"/>
      <c r="H734" s="1"/>
      <c r="I734" s="1"/>
      <c r="J734" s="1"/>
      <c r="K734" s="1"/>
      <c r="L734" s="1"/>
      <c r="M734" s="1"/>
      <c r="N734" s="1"/>
    </row>
    <row r="735" ht="27.75" customHeight="1">
      <c r="A735" s="1"/>
      <c r="B735" s="16"/>
      <c r="C735" s="17"/>
      <c r="D735" s="67"/>
      <c r="E735" s="72"/>
      <c r="F735" s="1"/>
      <c r="G735" s="1"/>
      <c r="H735" s="1"/>
      <c r="I735" s="1"/>
      <c r="J735" s="1"/>
      <c r="K735" s="1"/>
      <c r="L735" s="1"/>
      <c r="M735" s="1"/>
      <c r="N735" s="1"/>
    </row>
    <row r="736" ht="27.75" customHeight="1">
      <c r="A736" s="1"/>
      <c r="B736" s="16"/>
      <c r="C736" s="17"/>
      <c r="D736" s="67"/>
      <c r="E736" s="72"/>
      <c r="F736" s="1"/>
      <c r="G736" s="1"/>
      <c r="H736" s="1"/>
      <c r="I736" s="1"/>
      <c r="J736" s="1"/>
      <c r="K736" s="1"/>
      <c r="L736" s="1"/>
      <c r="M736" s="1"/>
      <c r="N736" s="1"/>
    </row>
    <row r="737" ht="27.75" customHeight="1">
      <c r="A737" s="1"/>
      <c r="B737" s="16"/>
      <c r="C737" s="17"/>
      <c r="D737" s="67"/>
      <c r="E737" s="72"/>
      <c r="F737" s="1"/>
      <c r="G737" s="1"/>
      <c r="H737" s="1"/>
      <c r="I737" s="1"/>
      <c r="J737" s="1"/>
      <c r="K737" s="1"/>
      <c r="L737" s="1"/>
      <c r="M737" s="1"/>
      <c r="N737" s="1"/>
    </row>
    <row r="738" ht="27.75" customHeight="1">
      <c r="A738" s="1"/>
      <c r="B738" s="16"/>
      <c r="C738" s="17"/>
      <c r="D738" s="67"/>
      <c r="E738" s="72"/>
      <c r="F738" s="1"/>
      <c r="G738" s="1"/>
      <c r="H738" s="1"/>
      <c r="I738" s="1"/>
      <c r="J738" s="1"/>
      <c r="K738" s="1"/>
      <c r="L738" s="1"/>
      <c r="M738" s="1"/>
      <c r="N738" s="1"/>
    </row>
    <row r="739" ht="27.75" customHeight="1">
      <c r="A739" s="1"/>
      <c r="B739" s="16"/>
      <c r="C739" s="17"/>
      <c r="D739" s="67"/>
      <c r="E739" s="72"/>
      <c r="F739" s="1"/>
      <c r="G739" s="1"/>
      <c r="H739" s="1"/>
      <c r="I739" s="1"/>
      <c r="J739" s="1"/>
      <c r="K739" s="1"/>
      <c r="L739" s="1"/>
      <c r="M739" s="1"/>
      <c r="N739" s="1"/>
    </row>
    <row r="740" ht="27.75" customHeight="1">
      <c r="A740" s="1"/>
      <c r="B740" s="16"/>
      <c r="C740" s="17"/>
      <c r="D740" s="67"/>
      <c r="E740" s="72"/>
      <c r="F740" s="1"/>
      <c r="G740" s="1"/>
      <c r="H740" s="1"/>
      <c r="I740" s="1"/>
      <c r="J740" s="1"/>
      <c r="K740" s="1"/>
      <c r="L740" s="1"/>
      <c r="M740" s="1"/>
      <c r="N740" s="1"/>
    </row>
    <row r="741" ht="27.75" customHeight="1">
      <c r="A741" s="1"/>
      <c r="B741" s="16"/>
      <c r="C741" s="17"/>
      <c r="D741" s="67"/>
      <c r="E741" s="72"/>
      <c r="F741" s="1"/>
      <c r="G741" s="1"/>
      <c r="H741" s="1"/>
      <c r="I741" s="1"/>
      <c r="J741" s="1"/>
      <c r="K741" s="1"/>
      <c r="L741" s="1"/>
      <c r="M741" s="1"/>
      <c r="N741" s="1"/>
    </row>
    <row r="742" ht="27.75" customHeight="1">
      <c r="A742" s="1"/>
      <c r="B742" s="16"/>
      <c r="C742" s="17"/>
      <c r="D742" s="67"/>
      <c r="E742" s="72"/>
      <c r="F742" s="1"/>
      <c r="G742" s="1"/>
      <c r="H742" s="1"/>
      <c r="I742" s="1"/>
      <c r="J742" s="1"/>
      <c r="K742" s="1"/>
      <c r="L742" s="1"/>
      <c r="M742" s="1"/>
      <c r="N742" s="1"/>
    </row>
    <row r="743" ht="27.75" customHeight="1">
      <c r="A743" s="1"/>
      <c r="B743" s="16"/>
      <c r="C743" s="17"/>
      <c r="D743" s="67"/>
      <c r="E743" s="72"/>
      <c r="F743" s="1"/>
      <c r="G743" s="1"/>
      <c r="H743" s="1"/>
      <c r="I743" s="1"/>
      <c r="J743" s="1"/>
      <c r="K743" s="1"/>
      <c r="L743" s="1"/>
      <c r="M743" s="1"/>
      <c r="N743" s="1"/>
    </row>
    <row r="744" ht="27.75" customHeight="1">
      <c r="A744" s="1"/>
      <c r="B744" s="16"/>
      <c r="C744" s="17"/>
      <c r="D744" s="67"/>
      <c r="E744" s="72"/>
      <c r="F744" s="1"/>
      <c r="G744" s="1"/>
      <c r="H744" s="1"/>
      <c r="I744" s="1"/>
      <c r="J744" s="1"/>
      <c r="K744" s="1"/>
      <c r="L744" s="1"/>
      <c r="M744" s="1"/>
      <c r="N744" s="1"/>
    </row>
    <row r="745" ht="27.75" customHeight="1">
      <c r="A745" s="1"/>
      <c r="B745" s="16"/>
      <c r="C745" s="17"/>
      <c r="D745" s="67"/>
      <c r="E745" s="72"/>
      <c r="F745" s="1"/>
      <c r="G745" s="1"/>
      <c r="H745" s="1"/>
      <c r="I745" s="1"/>
      <c r="J745" s="1"/>
      <c r="K745" s="1"/>
      <c r="L745" s="1"/>
      <c r="M745" s="1"/>
      <c r="N745" s="1"/>
    </row>
    <row r="746" ht="27.75" customHeight="1">
      <c r="A746" s="1"/>
      <c r="B746" s="16"/>
      <c r="C746" s="17"/>
      <c r="D746" s="67"/>
      <c r="E746" s="72"/>
      <c r="F746" s="1"/>
      <c r="G746" s="1"/>
      <c r="H746" s="1"/>
      <c r="I746" s="1"/>
      <c r="J746" s="1"/>
      <c r="K746" s="1"/>
      <c r="L746" s="1"/>
      <c r="M746" s="1"/>
      <c r="N746" s="1"/>
    </row>
    <row r="747" ht="27.75" customHeight="1">
      <c r="A747" s="1"/>
      <c r="B747" s="16"/>
      <c r="C747" s="17"/>
      <c r="D747" s="67"/>
      <c r="E747" s="72"/>
      <c r="F747" s="1"/>
      <c r="G747" s="1"/>
      <c r="H747" s="1"/>
      <c r="I747" s="1"/>
      <c r="J747" s="1"/>
      <c r="K747" s="1"/>
      <c r="L747" s="1"/>
      <c r="M747" s="1"/>
      <c r="N747" s="1"/>
    </row>
    <row r="748" ht="27.75" customHeight="1">
      <c r="A748" s="1"/>
      <c r="B748" s="16"/>
      <c r="C748" s="17"/>
      <c r="D748" s="67"/>
      <c r="E748" s="72"/>
      <c r="F748" s="1"/>
      <c r="G748" s="1"/>
      <c r="H748" s="1"/>
      <c r="I748" s="1"/>
      <c r="J748" s="1"/>
      <c r="K748" s="1"/>
      <c r="L748" s="1"/>
      <c r="M748" s="1"/>
      <c r="N748" s="1"/>
    </row>
    <row r="749" ht="27.75" customHeight="1">
      <c r="A749" s="1"/>
      <c r="B749" s="16"/>
      <c r="C749" s="17"/>
      <c r="D749" s="67"/>
      <c r="E749" s="72"/>
      <c r="F749" s="1"/>
      <c r="G749" s="1"/>
      <c r="H749" s="1"/>
      <c r="I749" s="1"/>
      <c r="J749" s="1"/>
      <c r="K749" s="1"/>
      <c r="L749" s="1"/>
      <c r="M749" s="1"/>
      <c r="N749" s="1"/>
    </row>
    <row r="750" ht="27.75" customHeight="1">
      <c r="A750" s="1"/>
      <c r="B750" s="16"/>
      <c r="C750" s="17"/>
      <c r="D750" s="67"/>
      <c r="E750" s="72"/>
      <c r="F750" s="1"/>
      <c r="G750" s="1"/>
      <c r="H750" s="1"/>
      <c r="I750" s="1"/>
      <c r="J750" s="1"/>
      <c r="K750" s="1"/>
      <c r="L750" s="1"/>
      <c r="M750" s="1"/>
      <c r="N750" s="1"/>
    </row>
    <row r="751" ht="27.75" customHeight="1">
      <c r="A751" s="1"/>
      <c r="B751" s="16"/>
      <c r="C751" s="17"/>
      <c r="D751" s="67"/>
      <c r="E751" s="72"/>
      <c r="F751" s="1"/>
      <c r="G751" s="1"/>
      <c r="H751" s="1"/>
      <c r="I751" s="1"/>
      <c r="J751" s="1"/>
      <c r="K751" s="1"/>
      <c r="L751" s="1"/>
      <c r="M751" s="1"/>
      <c r="N751" s="1"/>
    </row>
    <row r="752" ht="27.75" customHeight="1">
      <c r="A752" s="1"/>
      <c r="B752" s="16"/>
      <c r="C752" s="17"/>
      <c r="D752" s="67"/>
      <c r="E752" s="72"/>
      <c r="F752" s="1"/>
      <c r="G752" s="1"/>
      <c r="H752" s="1"/>
      <c r="I752" s="1"/>
      <c r="J752" s="1"/>
      <c r="K752" s="1"/>
      <c r="L752" s="1"/>
      <c r="M752" s="1"/>
      <c r="N752" s="1"/>
    </row>
    <row r="753" ht="27.75" customHeight="1">
      <c r="A753" s="1"/>
      <c r="B753" s="16"/>
      <c r="C753" s="17"/>
      <c r="D753" s="67"/>
      <c r="E753" s="72"/>
      <c r="F753" s="1"/>
      <c r="G753" s="1"/>
      <c r="H753" s="1"/>
      <c r="I753" s="1"/>
      <c r="J753" s="1"/>
      <c r="K753" s="1"/>
      <c r="L753" s="1"/>
      <c r="M753" s="1"/>
      <c r="N753" s="1"/>
    </row>
    <row r="754" ht="27.75" customHeight="1">
      <c r="A754" s="1"/>
      <c r="B754" s="16"/>
      <c r="C754" s="17"/>
      <c r="D754" s="67"/>
      <c r="E754" s="72"/>
      <c r="F754" s="1"/>
      <c r="G754" s="1"/>
      <c r="H754" s="1"/>
      <c r="I754" s="1"/>
      <c r="J754" s="1"/>
      <c r="K754" s="1"/>
      <c r="L754" s="1"/>
      <c r="M754" s="1"/>
      <c r="N754" s="1"/>
    </row>
    <row r="755" ht="27.75" customHeight="1">
      <c r="A755" s="1"/>
      <c r="B755" s="16"/>
      <c r="C755" s="17"/>
      <c r="D755" s="67"/>
      <c r="E755" s="72"/>
      <c r="F755" s="1"/>
      <c r="G755" s="1"/>
      <c r="H755" s="1"/>
      <c r="I755" s="1"/>
      <c r="J755" s="1"/>
      <c r="K755" s="1"/>
      <c r="L755" s="1"/>
      <c r="M755" s="1"/>
      <c r="N755" s="1"/>
    </row>
    <row r="756" ht="27.75" customHeight="1">
      <c r="A756" s="1"/>
      <c r="B756" s="16"/>
      <c r="C756" s="17"/>
      <c r="D756" s="67"/>
      <c r="E756" s="72"/>
      <c r="F756" s="1"/>
      <c r="G756" s="1"/>
      <c r="H756" s="1"/>
      <c r="I756" s="1"/>
      <c r="J756" s="1"/>
      <c r="K756" s="1"/>
      <c r="L756" s="1"/>
      <c r="M756" s="1"/>
      <c r="N756" s="1"/>
    </row>
    <row r="757" ht="27.75" customHeight="1">
      <c r="A757" s="1"/>
      <c r="B757" s="16"/>
      <c r="C757" s="17"/>
      <c r="D757" s="67"/>
      <c r="E757" s="72"/>
      <c r="F757" s="1"/>
      <c r="G757" s="1"/>
      <c r="H757" s="1"/>
      <c r="I757" s="1"/>
      <c r="J757" s="1"/>
      <c r="K757" s="1"/>
      <c r="L757" s="1"/>
      <c r="M757" s="1"/>
      <c r="N757" s="1"/>
    </row>
    <row r="758" ht="27.75" customHeight="1">
      <c r="A758" s="1"/>
      <c r="B758" s="16"/>
      <c r="C758" s="17"/>
      <c r="D758" s="67"/>
      <c r="E758" s="72"/>
      <c r="F758" s="1"/>
      <c r="G758" s="1"/>
      <c r="H758" s="1"/>
      <c r="I758" s="1"/>
      <c r="J758" s="1"/>
      <c r="K758" s="1"/>
      <c r="L758" s="1"/>
      <c r="M758" s="1"/>
      <c r="N758" s="1"/>
    </row>
    <row r="759" ht="27.75" customHeight="1">
      <c r="A759" s="1"/>
      <c r="B759" s="16"/>
      <c r="C759" s="17"/>
      <c r="D759" s="67"/>
      <c r="E759" s="72"/>
      <c r="F759" s="1"/>
      <c r="G759" s="1"/>
      <c r="H759" s="1"/>
      <c r="I759" s="1"/>
      <c r="J759" s="1"/>
      <c r="K759" s="1"/>
      <c r="L759" s="1"/>
      <c r="M759" s="1"/>
      <c r="N759" s="1"/>
    </row>
    <row r="760" ht="27.75" customHeight="1">
      <c r="A760" s="1"/>
      <c r="B760" s="16"/>
      <c r="C760" s="17"/>
      <c r="D760" s="67"/>
      <c r="E760" s="72"/>
      <c r="F760" s="1"/>
      <c r="G760" s="1"/>
      <c r="H760" s="1"/>
      <c r="I760" s="1"/>
      <c r="J760" s="1"/>
      <c r="K760" s="1"/>
      <c r="L760" s="1"/>
      <c r="M760" s="1"/>
      <c r="N760" s="1"/>
    </row>
    <row r="761" ht="27.75" customHeight="1">
      <c r="A761" s="1"/>
      <c r="B761" s="16"/>
      <c r="C761" s="17"/>
      <c r="D761" s="67"/>
      <c r="E761" s="72"/>
      <c r="F761" s="1"/>
      <c r="G761" s="1"/>
      <c r="H761" s="1"/>
      <c r="I761" s="1"/>
      <c r="J761" s="1"/>
      <c r="K761" s="1"/>
      <c r="L761" s="1"/>
      <c r="M761" s="1"/>
      <c r="N761" s="1"/>
    </row>
    <row r="762" ht="27.75" customHeight="1">
      <c r="A762" s="1"/>
      <c r="B762" s="16"/>
      <c r="C762" s="17"/>
      <c r="D762" s="67"/>
      <c r="E762" s="72"/>
      <c r="F762" s="1"/>
      <c r="G762" s="1"/>
      <c r="H762" s="1"/>
      <c r="I762" s="1"/>
      <c r="J762" s="1"/>
      <c r="K762" s="1"/>
      <c r="L762" s="1"/>
      <c r="M762" s="1"/>
      <c r="N762" s="1"/>
    </row>
    <row r="763" ht="27.75" customHeight="1">
      <c r="A763" s="1"/>
      <c r="B763" s="16"/>
      <c r="C763" s="17"/>
      <c r="D763" s="67"/>
      <c r="E763" s="72"/>
      <c r="F763" s="1"/>
      <c r="G763" s="1"/>
      <c r="H763" s="1"/>
      <c r="I763" s="1"/>
      <c r="J763" s="1"/>
      <c r="K763" s="1"/>
      <c r="L763" s="1"/>
      <c r="M763" s="1"/>
      <c r="N763" s="1"/>
    </row>
    <row r="764" ht="27.75" customHeight="1">
      <c r="A764" s="1"/>
      <c r="B764" s="16"/>
      <c r="C764" s="17"/>
      <c r="D764" s="67"/>
      <c r="E764" s="72"/>
      <c r="F764" s="1"/>
      <c r="G764" s="1"/>
      <c r="H764" s="1"/>
      <c r="I764" s="1"/>
      <c r="J764" s="1"/>
      <c r="K764" s="1"/>
      <c r="L764" s="1"/>
      <c r="M764" s="1"/>
      <c r="N764" s="1"/>
    </row>
    <row r="765" ht="27.75" customHeight="1">
      <c r="A765" s="1"/>
      <c r="B765" s="16"/>
      <c r="C765" s="17"/>
      <c r="D765" s="67"/>
      <c r="E765" s="72"/>
      <c r="F765" s="1"/>
      <c r="G765" s="1"/>
      <c r="H765" s="1"/>
      <c r="I765" s="1"/>
      <c r="J765" s="1"/>
      <c r="K765" s="1"/>
      <c r="L765" s="1"/>
      <c r="M765" s="1"/>
      <c r="N765" s="1"/>
    </row>
    <row r="766" ht="27.75" customHeight="1">
      <c r="A766" s="1"/>
      <c r="B766" s="16"/>
      <c r="C766" s="17"/>
      <c r="D766" s="67"/>
      <c r="E766" s="72"/>
      <c r="F766" s="1"/>
      <c r="G766" s="1"/>
      <c r="H766" s="1"/>
      <c r="I766" s="1"/>
      <c r="J766" s="1"/>
      <c r="K766" s="1"/>
      <c r="L766" s="1"/>
      <c r="M766" s="1"/>
      <c r="N766" s="1"/>
    </row>
    <row r="767" ht="27.75" customHeight="1">
      <c r="A767" s="1"/>
      <c r="B767" s="16"/>
      <c r="C767" s="17"/>
      <c r="D767" s="67"/>
      <c r="E767" s="72"/>
      <c r="F767" s="1"/>
      <c r="G767" s="1"/>
      <c r="H767" s="1"/>
      <c r="I767" s="1"/>
      <c r="J767" s="1"/>
      <c r="K767" s="1"/>
      <c r="L767" s="1"/>
      <c r="M767" s="1"/>
      <c r="N767" s="1"/>
    </row>
    <row r="768" ht="27.75" customHeight="1">
      <c r="A768" s="1"/>
      <c r="B768" s="16"/>
      <c r="C768" s="17"/>
      <c r="D768" s="67"/>
      <c r="E768" s="72"/>
      <c r="F768" s="1"/>
      <c r="G768" s="1"/>
      <c r="H768" s="1"/>
      <c r="I768" s="1"/>
      <c r="J768" s="1"/>
      <c r="K768" s="1"/>
      <c r="L768" s="1"/>
      <c r="M768" s="1"/>
      <c r="N768" s="1"/>
    </row>
    <row r="769" ht="27.75" customHeight="1">
      <c r="A769" s="1"/>
      <c r="B769" s="16"/>
      <c r="C769" s="17"/>
      <c r="D769" s="67"/>
      <c r="E769" s="72"/>
      <c r="F769" s="1"/>
      <c r="G769" s="1"/>
      <c r="H769" s="1"/>
      <c r="I769" s="1"/>
      <c r="J769" s="1"/>
      <c r="K769" s="1"/>
      <c r="L769" s="1"/>
      <c r="M769" s="1"/>
      <c r="N769" s="1"/>
    </row>
    <row r="770" ht="27.75" customHeight="1">
      <c r="A770" s="1"/>
      <c r="B770" s="16"/>
      <c r="C770" s="17"/>
      <c r="D770" s="67"/>
      <c r="E770" s="72"/>
      <c r="F770" s="1"/>
      <c r="G770" s="1"/>
      <c r="H770" s="1"/>
      <c r="I770" s="1"/>
      <c r="J770" s="1"/>
      <c r="K770" s="1"/>
      <c r="L770" s="1"/>
      <c r="M770" s="1"/>
      <c r="N770" s="1"/>
    </row>
    <row r="771" ht="27.75" customHeight="1">
      <c r="A771" s="1"/>
      <c r="B771" s="16"/>
      <c r="C771" s="17"/>
      <c r="D771" s="67"/>
      <c r="E771" s="72"/>
      <c r="F771" s="1"/>
      <c r="G771" s="1"/>
      <c r="H771" s="1"/>
      <c r="I771" s="1"/>
      <c r="J771" s="1"/>
      <c r="K771" s="1"/>
      <c r="L771" s="1"/>
      <c r="M771" s="1"/>
      <c r="N771" s="1"/>
    </row>
    <row r="772" ht="27.75" customHeight="1">
      <c r="A772" s="1"/>
      <c r="B772" s="16"/>
      <c r="C772" s="17"/>
      <c r="D772" s="67"/>
      <c r="E772" s="72"/>
      <c r="F772" s="1"/>
      <c r="G772" s="1"/>
      <c r="H772" s="1"/>
      <c r="I772" s="1"/>
      <c r="J772" s="1"/>
      <c r="K772" s="1"/>
      <c r="L772" s="1"/>
      <c r="M772" s="1"/>
      <c r="N772" s="1"/>
    </row>
    <row r="773" ht="27.75" customHeight="1">
      <c r="A773" s="1"/>
      <c r="B773" s="16"/>
      <c r="C773" s="17"/>
      <c r="D773" s="67"/>
      <c r="E773" s="72"/>
      <c r="F773" s="1"/>
      <c r="G773" s="1"/>
      <c r="H773" s="1"/>
      <c r="I773" s="1"/>
      <c r="J773" s="1"/>
      <c r="K773" s="1"/>
      <c r="L773" s="1"/>
      <c r="M773" s="1"/>
      <c r="N773" s="1"/>
    </row>
    <row r="774" ht="27.75" customHeight="1">
      <c r="A774" s="1"/>
      <c r="B774" s="16"/>
      <c r="C774" s="17"/>
      <c r="D774" s="67"/>
      <c r="E774" s="72"/>
      <c r="F774" s="1"/>
      <c r="G774" s="1"/>
      <c r="H774" s="1"/>
      <c r="I774" s="1"/>
      <c r="J774" s="1"/>
      <c r="K774" s="1"/>
      <c r="L774" s="1"/>
      <c r="M774" s="1"/>
      <c r="N774" s="1"/>
    </row>
    <row r="775" ht="27.75" customHeight="1">
      <c r="A775" s="1"/>
      <c r="B775" s="16"/>
      <c r="C775" s="17"/>
      <c r="D775" s="67"/>
      <c r="E775" s="72"/>
      <c r="F775" s="1"/>
      <c r="G775" s="1"/>
      <c r="H775" s="1"/>
      <c r="I775" s="1"/>
      <c r="J775" s="1"/>
      <c r="K775" s="1"/>
      <c r="L775" s="1"/>
      <c r="M775" s="1"/>
      <c r="N775" s="1"/>
    </row>
    <row r="776" ht="27.75" customHeight="1">
      <c r="A776" s="1"/>
      <c r="B776" s="16"/>
      <c r="C776" s="17"/>
      <c r="D776" s="67"/>
      <c r="E776" s="72"/>
      <c r="F776" s="1"/>
      <c r="G776" s="1"/>
      <c r="H776" s="1"/>
      <c r="I776" s="1"/>
      <c r="J776" s="1"/>
      <c r="K776" s="1"/>
      <c r="L776" s="1"/>
      <c r="M776" s="1"/>
      <c r="N776" s="1"/>
    </row>
    <row r="777" ht="27.75" customHeight="1">
      <c r="A777" s="1"/>
      <c r="B777" s="16"/>
      <c r="C777" s="17"/>
      <c r="D777" s="67"/>
      <c r="E777" s="72"/>
      <c r="F777" s="1"/>
      <c r="G777" s="1"/>
      <c r="H777" s="1"/>
      <c r="I777" s="1"/>
      <c r="J777" s="1"/>
      <c r="K777" s="1"/>
      <c r="L777" s="1"/>
      <c r="M777" s="1"/>
      <c r="N777" s="1"/>
    </row>
    <row r="778" ht="27.75" customHeight="1">
      <c r="A778" s="1"/>
      <c r="B778" s="16"/>
      <c r="C778" s="17"/>
      <c r="D778" s="67"/>
      <c r="E778" s="72"/>
      <c r="F778" s="1"/>
      <c r="G778" s="1"/>
      <c r="H778" s="1"/>
      <c r="I778" s="1"/>
      <c r="J778" s="1"/>
      <c r="K778" s="1"/>
      <c r="L778" s="1"/>
      <c r="M778" s="1"/>
      <c r="N778" s="1"/>
    </row>
    <row r="779" ht="27.75" customHeight="1">
      <c r="A779" s="1"/>
      <c r="B779" s="16"/>
      <c r="C779" s="17"/>
      <c r="D779" s="67"/>
      <c r="E779" s="72"/>
      <c r="F779" s="1"/>
      <c r="G779" s="1"/>
      <c r="H779" s="1"/>
      <c r="I779" s="1"/>
      <c r="J779" s="1"/>
      <c r="K779" s="1"/>
      <c r="L779" s="1"/>
      <c r="M779" s="1"/>
      <c r="N779" s="1"/>
    </row>
    <row r="780" ht="27.75" customHeight="1">
      <c r="A780" s="1"/>
      <c r="B780" s="16"/>
      <c r="C780" s="17"/>
      <c r="D780" s="67"/>
      <c r="E780" s="72"/>
      <c r="F780" s="1"/>
      <c r="G780" s="1"/>
      <c r="H780" s="1"/>
      <c r="I780" s="1"/>
      <c r="J780" s="1"/>
      <c r="K780" s="1"/>
      <c r="L780" s="1"/>
      <c r="M780" s="1"/>
      <c r="N780" s="1"/>
    </row>
    <row r="781" ht="27.75" customHeight="1">
      <c r="A781" s="1"/>
      <c r="B781" s="16"/>
      <c r="C781" s="17"/>
      <c r="D781" s="67"/>
      <c r="E781" s="72"/>
      <c r="F781" s="1"/>
      <c r="G781" s="1"/>
      <c r="H781" s="1"/>
      <c r="I781" s="1"/>
      <c r="J781" s="1"/>
      <c r="K781" s="1"/>
      <c r="L781" s="1"/>
      <c r="M781" s="1"/>
      <c r="N781" s="1"/>
    </row>
    <row r="782" ht="27.75" customHeight="1">
      <c r="A782" s="1"/>
      <c r="B782" s="16"/>
      <c r="C782" s="17"/>
      <c r="D782" s="67"/>
      <c r="E782" s="72"/>
      <c r="F782" s="1"/>
      <c r="G782" s="1"/>
      <c r="H782" s="1"/>
      <c r="I782" s="1"/>
      <c r="J782" s="1"/>
      <c r="K782" s="1"/>
      <c r="L782" s="1"/>
      <c r="M782" s="1"/>
      <c r="N782" s="1"/>
    </row>
    <row r="783" ht="27.75" customHeight="1">
      <c r="A783" s="1"/>
      <c r="B783" s="16"/>
      <c r="C783" s="17"/>
      <c r="D783" s="67"/>
      <c r="E783" s="72"/>
      <c r="F783" s="1"/>
      <c r="G783" s="1"/>
      <c r="H783" s="1"/>
      <c r="I783" s="1"/>
      <c r="J783" s="1"/>
      <c r="K783" s="1"/>
      <c r="L783" s="1"/>
      <c r="M783" s="1"/>
      <c r="N783" s="1"/>
    </row>
    <row r="784" ht="27.75" customHeight="1">
      <c r="A784" s="1"/>
      <c r="B784" s="16"/>
      <c r="C784" s="17"/>
      <c r="D784" s="67"/>
      <c r="E784" s="72"/>
      <c r="F784" s="1"/>
      <c r="G784" s="1"/>
      <c r="H784" s="1"/>
      <c r="I784" s="1"/>
      <c r="J784" s="1"/>
      <c r="K784" s="1"/>
      <c r="L784" s="1"/>
      <c r="M784" s="1"/>
      <c r="N784" s="1"/>
    </row>
    <row r="785" ht="27.75" customHeight="1">
      <c r="A785" s="1"/>
      <c r="B785" s="16"/>
      <c r="C785" s="17"/>
      <c r="D785" s="67"/>
      <c r="E785" s="72"/>
      <c r="F785" s="1"/>
      <c r="G785" s="1"/>
      <c r="H785" s="1"/>
      <c r="I785" s="1"/>
      <c r="J785" s="1"/>
      <c r="K785" s="1"/>
      <c r="L785" s="1"/>
      <c r="M785" s="1"/>
      <c r="N785" s="1"/>
    </row>
    <row r="786" ht="27.75" customHeight="1">
      <c r="A786" s="1"/>
      <c r="B786" s="16"/>
      <c r="C786" s="17"/>
      <c r="D786" s="67"/>
      <c r="E786" s="72"/>
      <c r="F786" s="1"/>
      <c r="G786" s="1"/>
      <c r="H786" s="1"/>
      <c r="I786" s="1"/>
      <c r="J786" s="1"/>
      <c r="K786" s="1"/>
      <c r="L786" s="1"/>
      <c r="M786" s="1"/>
      <c r="N786" s="1"/>
    </row>
    <row r="787" ht="27.75" customHeight="1">
      <c r="A787" s="1"/>
      <c r="B787" s="16"/>
      <c r="C787" s="17"/>
      <c r="D787" s="67"/>
      <c r="E787" s="72"/>
      <c r="F787" s="1"/>
      <c r="G787" s="1"/>
      <c r="H787" s="1"/>
      <c r="I787" s="1"/>
      <c r="J787" s="1"/>
      <c r="K787" s="1"/>
      <c r="L787" s="1"/>
      <c r="M787" s="1"/>
      <c r="N787" s="1"/>
    </row>
    <row r="788" ht="27.75" customHeight="1">
      <c r="A788" s="1"/>
      <c r="B788" s="16"/>
      <c r="C788" s="17"/>
      <c r="D788" s="67"/>
      <c r="E788" s="72"/>
      <c r="F788" s="1"/>
      <c r="G788" s="1"/>
      <c r="H788" s="1"/>
      <c r="I788" s="1"/>
      <c r="J788" s="1"/>
      <c r="K788" s="1"/>
      <c r="L788" s="1"/>
      <c r="M788" s="1"/>
      <c r="N788" s="1"/>
    </row>
    <row r="789" ht="27.75" customHeight="1">
      <c r="A789" s="1"/>
      <c r="B789" s="16"/>
      <c r="C789" s="17"/>
      <c r="D789" s="67"/>
      <c r="E789" s="72"/>
      <c r="F789" s="1"/>
      <c r="G789" s="1"/>
      <c r="H789" s="1"/>
      <c r="I789" s="1"/>
      <c r="J789" s="1"/>
      <c r="K789" s="1"/>
      <c r="L789" s="1"/>
      <c r="M789" s="1"/>
      <c r="N789" s="1"/>
    </row>
    <row r="790" ht="27.75" customHeight="1">
      <c r="A790" s="1"/>
      <c r="B790" s="16"/>
      <c r="C790" s="17"/>
      <c r="D790" s="67"/>
      <c r="E790" s="72"/>
      <c r="F790" s="1"/>
      <c r="G790" s="1"/>
      <c r="H790" s="1"/>
      <c r="I790" s="1"/>
      <c r="J790" s="1"/>
      <c r="K790" s="1"/>
      <c r="L790" s="1"/>
      <c r="M790" s="1"/>
      <c r="N790" s="1"/>
    </row>
    <row r="791" ht="27.75" customHeight="1">
      <c r="A791" s="1"/>
      <c r="B791" s="16"/>
      <c r="C791" s="17"/>
      <c r="D791" s="67"/>
      <c r="E791" s="72"/>
      <c r="F791" s="1"/>
      <c r="G791" s="1"/>
      <c r="H791" s="1"/>
      <c r="I791" s="1"/>
      <c r="J791" s="1"/>
      <c r="K791" s="1"/>
      <c r="L791" s="1"/>
      <c r="M791" s="1"/>
      <c r="N791" s="1"/>
    </row>
    <row r="792" ht="27.75" customHeight="1">
      <c r="A792" s="1"/>
      <c r="B792" s="16"/>
      <c r="C792" s="17"/>
      <c r="D792" s="67"/>
      <c r="E792" s="72"/>
      <c r="F792" s="1"/>
      <c r="G792" s="1"/>
      <c r="H792" s="1"/>
      <c r="I792" s="1"/>
      <c r="J792" s="1"/>
      <c r="K792" s="1"/>
      <c r="L792" s="1"/>
      <c r="M792" s="1"/>
      <c r="N792" s="1"/>
    </row>
    <row r="793" ht="27.75" customHeight="1">
      <c r="A793" s="1"/>
      <c r="B793" s="16"/>
      <c r="C793" s="17"/>
      <c r="D793" s="67"/>
      <c r="E793" s="72"/>
      <c r="F793" s="1"/>
      <c r="G793" s="1"/>
      <c r="H793" s="1"/>
      <c r="I793" s="1"/>
      <c r="J793" s="1"/>
      <c r="K793" s="1"/>
      <c r="L793" s="1"/>
      <c r="M793" s="1"/>
      <c r="N793" s="1"/>
    </row>
    <row r="794" ht="27.75" customHeight="1">
      <c r="A794" s="1"/>
      <c r="B794" s="16"/>
      <c r="C794" s="17"/>
      <c r="D794" s="67"/>
      <c r="E794" s="72"/>
      <c r="F794" s="1"/>
      <c r="G794" s="1"/>
      <c r="H794" s="1"/>
      <c r="I794" s="1"/>
      <c r="J794" s="1"/>
      <c r="K794" s="1"/>
      <c r="L794" s="1"/>
      <c r="M794" s="1"/>
      <c r="N794" s="1"/>
    </row>
    <row r="795" ht="27.75" customHeight="1">
      <c r="A795" s="1"/>
      <c r="B795" s="16"/>
      <c r="C795" s="17"/>
      <c r="D795" s="67"/>
      <c r="E795" s="72"/>
      <c r="F795" s="1"/>
      <c r="G795" s="1"/>
      <c r="H795" s="1"/>
      <c r="I795" s="1"/>
      <c r="J795" s="1"/>
      <c r="K795" s="1"/>
      <c r="L795" s="1"/>
      <c r="M795" s="1"/>
      <c r="N795" s="1"/>
    </row>
    <row r="796" ht="27.75" customHeight="1">
      <c r="A796" s="1"/>
      <c r="B796" s="16"/>
      <c r="C796" s="17"/>
      <c r="D796" s="67"/>
      <c r="E796" s="72"/>
      <c r="F796" s="1"/>
      <c r="G796" s="1"/>
      <c r="H796" s="1"/>
      <c r="I796" s="1"/>
      <c r="J796" s="1"/>
      <c r="K796" s="1"/>
      <c r="L796" s="1"/>
      <c r="M796" s="1"/>
      <c r="N796" s="1"/>
    </row>
    <row r="797" ht="27.75" customHeight="1">
      <c r="A797" s="1"/>
      <c r="B797" s="16"/>
      <c r="C797" s="17"/>
      <c r="D797" s="67"/>
      <c r="E797" s="72"/>
      <c r="F797" s="1"/>
      <c r="G797" s="1"/>
      <c r="H797" s="1"/>
      <c r="I797" s="1"/>
      <c r="J797" s="1"/>
      <c r="K797" s="1"/>
      <c r="L797" s="1"/>
      <c r="M797" s="1"/>
      <c r="N797" s="1"/>
    </row>
    <row r="798" ht="27.75" customHeight="1">
      <c r="A798" s="1"/>
      <c r="B798" s="16"/>
      <c r="C798" s="17"/>
      <c r="D798" s="67"/>
      <c r="E798" s="72"/>
      <c r="F798" s="1"/>
      <c r="G798" s="1"/>
      <c r="H798" s="1"/>
      <c r="I798" s="1"/>
      <c r="J798" s="1"/>
      <c r="K798" s="1"/>
      <c r="L798" s="1"/>
      <c r="M798" s="1"/>
      <c r="N798" s="1"/>
    </row>
    <row r="799" ht="27.75" customHeight="1">
      <c r="A799" s="1"/>
      <c r="B799" s="16"/>
      <c r="C799" s="17"/>
      <c r="D799" s="67"/>
      <c r="E799" s="72"/>
      <c r="F799" s="1"/>
      <c r="G799" s="1"/>
      <c r="H799" s="1"/>
      <c r="I799" s="1"/>
      <c r="J799" s="1"/>
      <c r="K799" s="1"/>
      <c r="L799" s="1"/>
      <c r="M799" s="1"/>
      <c r="N799" s="1"/>
    </row>
    <row r="800" ht="27.75" customHeight="1">
      <c r="A800" s="1"/>
      <c r="B800" s="16"/>
      <c r="C800" s="17"/>
      <c r="D800" s="67"/>
      <c r="E800" s="72"/>
      <c r="F800" s="1"/>
      <c r="G800" s="1"/>
      <c r="H800" s="1"/>
      <c r="I800" s="1"/>
      <c r="J800" s="1"/>
      <c r="K800" s="1"/>
      <c r="L800" s="1"/>
      <c r="M800" s="1"/>
      <c r="N800" s="1"/>
    </row>
    <row r="801" ht="27.75" customHeight="1">
      <c r="A801" s="1"/>
      <c r="B801" s="16"/>
      <c r="C801" s="17"/>
      <c r="D801" s="67"/>
      <c r="E801" s="72"/>
      <c r="F801" s="1"/>
      <c r="G801" s="1"/>
      <c r="H801" s="1"/>
      <c r="I801" s="1"/>
      <c r="J801" s="1"/>
      <c r="K801" s="1"/>
      <c r="L801" s="1"/>
      <c r="M801" s="1"/>
      <c r="N801" s="1"/>
    </row>
    <row r="802" ht="27.75" customHeight="1">
      <c r="A802" s="1"/>
      <c r="B802" s="16"/>
      <c r="C802" s="17"/>
      <c r="D802" s="67"/>
      <c r="E802" s="72"/>
      <c r="F802" s="1"/>
      <c r="G802" s="1"/>
      <c r="H802" s="1"/>
      <c r="I802" s="1"/>
      <c r="J802" s="1"/>
      <c r="K802" s="1"/>
      <c r="L802" s="1"/>
      <c r="M802" s="1"/>
      <c r="N802" s="1"/>
    </row>
    <row r="803" ht="27.75" customHeight="1">
      <c r="A803" s="1"/>
      <c r="B803" s="16"/>
      <c r="C803" s="17"/>
      <c r="D803" s="67"/>
      <c r="E803" s="72"/>
      <c r="F803" s="1"/>
      <c r="G803" s="1"/>
      <c r="H803" s="1"/>
      <c r="I803" s="1"/>
      <c r="J803" s="1"/>
      <c r="K803" s="1"/>
      <c r="L803" s="1"/>
      <c r="M803" s="1"/>
      <c r="N803" s="1"/>
    </row>
    <row r="804" ht="27.75" customHeight="1">
      <c r="A804" s="1"/>
      <c r="B804" s="16"/>
      <c r="C804" s="17"/>
      <c r="D804" s="67"/>
      <c r="E804" s="72"/>
      <c r="F804" s="1"/>
      <c r="G804" s="1"/>
      <c r="H804" s="1"/>
      <c r="I804" s="1"/>
      <c r="J804" s="1"/>
      <c r="K804" s="1"/>
      <c r="L804" s="1"/>
      <c r="M804" s="1"/>
      <c r="N804" s="1"/>
    </row>
    <row r="805" ht="27.75" customHeight="1">
      <c r="A805" s="1"/>
      <c r="B805" s="16"/>
      <c r="C805" s="17"/>
      <c r="D805" s="67"/>
      <c r="E805" s="72"/>
      <c r="F805" s="1"/>
      <c r="G805" s="1"/>
      <c r="H805" s="1"/>
      <c r="I805" s="1"/>
      <c r="J805" s="1"/>
      <c r="K805" s="1"/>
      <c r="L805" s="1"/>
      <c r="M805" s="1"/>
      <c r="N805" s="1"/>
    </row>
    <row r="806" ht="27.75" customHeight="1">
      <c r="A806" s="1"/>
      <c r="B806" s="16"/>
      <c r="C806" s="17"/>
      <c r="D806" s="67"/>
      <c r="E806" s="72"/>
      <c r="F806" s="1"/>
      <c r="G806" s="1"/>
      <c r="H806" s="1"/>
      <c r="I806" s="1"/>
      <c r="J806" s="1"/>
      <c r="K806" s="1"/>
      <c r="L806" s="1"/>
      <c r="M806" s="1"/>
      <c r="N806" s="1"/>
    </row>
    <row r="807" ht="27.75" customHeight="1">
      <c r="A807" s="1"/>
      <c r="B807" s="16"/>
      <c r="C807" s="17"/>
      <c r="D807" s="67"/>
      <c r="E807" s="72"/>
      <c r="F807" s="1"/>
      <c r="G807" s="1"/>
      <c r="H807" s="1"/>
      <c r="I807" s="1"/>
      <c r="J807" s="1"/>
      <c r="K807" s="1"/>
      <c r="L807" s="1"/>
      <c r="M807" s="1"/>
      <c r="N807" s="1"/>
    </row>
    <row r="808" ht="27.75" customHeight="1">
      <c r="A808" s="1"/>
      <c r="B808" s="16"/>
      <c r="C808" s="17"/>
      <c r="D808" s="67"/>
      <c r="E808" s="72"/>
      <c r="F808" s="1"/>
      <c r="G808" s="1"/>
      <c r="H808" s="1"/>
      <c r="I808" s="1"/>
      <c r="J808" s="1"/>
      <c r="K808" s="1"/>
      <c r="L808" s="1"/>
      <c r="M808" s="1"/>
      <c r="N808" s="1"/>
    </row>
    <row r="809" ht="27.75" customHeight="1">
      <c r="A809" s="1"/>
      <c r="B809" s="16"/>
      <c r="C809" s="17"/>
      <c r="D809" s="67"/>
      <c r="E809" s="72"/>
      <c r="F809" s="1"/>
      <c r="G809" s="1"/>
      <c r="H809" s="1"/>
      <c r="I809" s="1"/>
      <c r="J809" s="1"/>
      <c r="K809" s="1"/>
      <c r="L809" s="1"/>
      <c r="M809" s="1"/>
      <c r="N809" s="1"/>
    </row>
    <row r="810" ht="27.75" customHeight="1">
      <c r="A810" s="1"/>
      <c r="B810" s="16"/>
      <c r="C810" s="17"/>
      <c r="D810" s="67"/>
      <c r="E810" s="72"/>
      <c r="F810" s="1"/>
      <c r="G810" s="1"/>
      <c r="H810" s="1"/>
      <c r="I810" s="1"/>
      <c r="J810" s="1"/>
      <c r="K810" s="1"/>
      <c r="L810" s="1"/>
      <c r="M810" s="1"/>
      <c r="N810" s="1"/>
    </row>
    <row r="811" ht="27.75" customHeight="1">
      <c r="A811" s="1"/>
      <c r="B811" s="16"/>
      <c r="C811" s="17"/>
      <c r="D811" s="67"/>
      <c r="E811" s="72"/>
      <c r="F811" s="1"/>
      <c r="G811" s="1"/>
      <c r="H811" s="1"/>
      <c r="I811" s="1"/>
      <c r="J811" s="1"/>
      <c r="K811" s="1"/>
      <c r="L811" s="1"/>
      <c r="M811" s="1"/>
      <c r="N811" s="1"/>
    </row>
    <row r="812" ht="27.75" customHeight="1">
      <c r="A812" s="1"/>
      <c r="B812" s="16"/>
      <c r="C812" s="17"/>
      <c r="D812" s="67"/>
      <c r="E812" s="72"/>
      <c r="F812" s="1"/>
      <c r="G812" s="1"/>
      <c r="H812" s="1"/>
      <c r="I812" s="1"/>
      <c r="J812" s="1"/>
      <c r="K812" s="1"/>
      <c r="L812" s="1"/>
      <c r="M812" s="1"/>
      <c r="N812" s="1"/>
    </row>
    <row r="813" ht="27.75" customHeight="1">
      <c r="A813" s="1"/>
      <c r="B813" s="16"/>
      <c r="C813" s="17"/>
      <c r="D813" s="67"/>
      <c r="E813" s="72"/>
      <c r="F813" s="1"/>
      <c r="G813" s="1"/>
      <c r="H813" s="1"/>
      <c r="I813" s="1"/>
      <c r="J813" s="1"/>
      <c r="K813" s="1"/>
      <c r="L813" s="1"/>
      <c r="M813" s="1"/>
      <c r="N813" s="1"/>
    </row>
    <row r="814" ht="27.75" customHeight="1">
      <c r="A814" s="1"/>
      <c r="B814" s="16"/>
      <c r="C814" s="17"/>
      <c r="D814" s="67"/>
      <c r="E814" s="72"/>
      <c r="F814" s="1"/>
      <c r="G814" s="1"/>
      <c r="H814" s="1"/>
      <c r="I814" s="1"/>
      <c r="J814" s="1"/>
      <c r="K814" s="1"/>
      <c r="L814" s="1"/>
      <c r="M814" s="1"/>
      <c r="N814" s="1"/>
    </row>
    <row r="815" ht="27.75" customHeight="1">
      <c r="A815" s="1"/>
      <c r="B815" s="16"/>
      <c r="C815" s="17"/>
      <c r="D815" s="67"/>
      <c r="E815" s="72"/>
      <c r="F815" s="1"/>
      <c r="G815" s="1"/>
      <c r="H815" s="1"/>
      <c r="I815" s="1"/>
      <c r="J815" s="1"/>
      <c r="K815" s="1"/>
      <c r="L815" s="1"/>
      <c r="M815" s="1"/>
      <c r="N815" s="1"/>
    </row>
    <row r="816" ht="27.75" customHeight="1">
      <c r="A816" s="1"/>
      <c r="B816" s="16"/>
      <c r="C816" s="17"/>
      <c r="D816" s="67"/>
      <c r="E816" s="72"/>
      <c r="F816" s="1"/>
      <c r="G816" s="1"/>
      <c r="H816" s="1"/>
      <c r="I816" s="1"/>
      <c r="J816" s="1"/>
      <c r="K816" s="1"/>
      <c r="L816" s="1"/>
      <c r="M816" s="1"/>
      <c r="N816" s="1"/>
    </row>
    <row r="817" ht="27.75" customHeight="1">
      <c r="A817" s="1"/>
      <c r="B817" s="16"/>
      <c r="C817" s="17"/>
      <c r="D817" s="67"/>
      <c r="E817" s="72"/>
      <c r="F817" s="1"/>
      <c r="G817" s="1"/>
      <c r="H817" s="1"/>
      <c r="I817" s="1"/>
      <c r="J817" s="1"/>
      <c r="K817" s="1"/>
      <c r="L817" s="1"/>
      <c r="M817" s="1"/>
      <c r="N817" s="1"/>
    </row>
    <row r="818" ht="27.75" customHeight="1">
      <c r="A818" s="1"/>
      <c r="B818" s="16"/>
      <c r="C818" s="17"/>
      <c r="D818" s="67"/>
      <c r="E818" s="72"/>
      <c r="F818" s="1"/>
      <c r="G818" s="1"/>
      <c r="H818" s="1"/>
      <c r="I818" s="1"/>
      <c r="J818" s="1"/>
      <c r="K818" s="1"/>
      <c r="L818" s="1"/>
      <c r="M818" s="1"/>
      <c r="N818" s="1"/>
    </row>
    <row r="819" ht="27.75" customHeight="1">
      <c r="A819" s="1"/>
      <c r="B819" s="16"/>
      <c r="C819" s="17"/>
      <c r="D819" s="67"/>
      <c r="E819" s="72"/>
      <c r="F819" s="1"/>
      <c r="G819" s="1"/>
      <c r="H819" s="1"/>
      <c r="I819" s="1"/>
      <c r="J819" s="1"/>
      <c r="K819" s="1"/>
      <c r="L819" s="1"/>
      <c r="M819" s="1"/>
      <c r="N819" s="1"/>
    </row>
    <row r="820" ht="27.75" customHeight="1">
      <c r="A820" s="1"/>
      <c r="B820" s="16"/>
      <c r="C820" s="17"/>
      <c r="D820" s="67"/>
      <c r="E820" s="72"/>
      <c r="F820" s="1"/>
      <c r="G820" s="1"/>
      <c r="H820" s="1"/>
      <c r="I820" s="1"/>
      <c r="J820" s="1"/>
      <c r="K820" s="1"/>
      <c r="L820" s="1"/>
      <c r="M820" s="1"/>
      <c r="N820" s="1"/>
    </row>
    <row r="821" ht="27.75" customHeight="1">
      <c r="A821" s="1"/>
      <c r="B821" s="16"/>
      <c r="C821" s="17"/>
      <c r="D821" s="67"/>
      <c r="E821" s="72"/>
      <c r="F821" s="1"/>
      <c r="G821" s="1"/>
      <c r="H821" s="1"/>
      <c r="I821" s="1"/>
      <c r="J821" s="1"/>
      <c r="K821" s="1"/>
      <c r="L821" s="1"/>
      <c r="M821" s="1"/>
      <c r="N821" s="1"/>
    </row>
    <row r="822" ht="27.75" customHeight="1">
      <c r="A822" s="1"/>
      <c r="B822" s="16"/>
      <c r="C822" s="17"/>
      <c r="D822" s="67"/>
      <c r="E822" s="72"/>
      <c r="F822" s="1"/>
      <c r="G822" s="1"/>
      <c r="H822" s="1"/>
      <c r="I822" s="1"/>
      <c r="J822" s="1"/>
      <c r="K822" s="1"/>
      <c r="L822" s="1"/>
      <c r="M822" s="1"/>
      <c r="N822" s="1"/>
    </row>
    <row r="823" ht="27.75" customHeight="1">
      <c r="A823" s="1"/>
      <c r="B823" s="16"/>
      <c r="C823" s="17"/>
      <c r="D823" s="67"/>
      <c r="E823" s="72"/>
      <c r="F823" s="1"/>
      <c r="G823" s="1"/>
      <c r="H823" s="1"/>
      <c r="I823" s="1"/>
      <c r="J823" s="1"/>
      <c r="K823" s="1"/>
      <c r="L823" s="1"/>
      <c r="M823" s="1"/>
      <c r="N823" s="1"/>
    </row>
    <row r="824" ht="27.75" customHeight="1">
      <c r="A824" s="1"/>
      <c r="B824" s="16"/>
      <c r="C824" s="17"/>
      <c r="D824" s="67"/>
      <c r="E824" s="72"/>
      <c r="F824" s="1"/>
      <c r="G824" s="1"/>
      <c r="H824" s="1"/>
      <c r="I824" s="1"/>
      <c r="J824" s="1"/>
      <c r="K824" s="1"/>
      <c r="L824" s="1"/>
      <c r="M824" s="1"/>
      <c r="N824" s="1"/>
    </row>
    <row r="825" ht="27.75" customHeight="1">
      <c r="A825" s="1"/>
      <c r="B825" s="16"/>
      <c r="C825" s="17"/>
      <c r="D825" s="67"/>
      <c r="E825" s="72"/>
      <c r="F825" s="1"/>
      <c r="G825" s="1"/>
      <c r="H825" s="1"/>
      <c r="I825" s="1"/>
      <c r="J825" s="1"/>
      <c r="K825" s="1"/>
      <c r="L825" s="1"/>
      <c r="M825" s="1"/>
      <c r="N825" s="1"/>
    </row>
    <row r="826" ht="27.75" customHeight="1">
      <c r="A826" s="1"/>
      <c r="B826" s="16"/>
      <c r="C826" s="17"/>
      <c r="D826" s="67"/>
      <c r="E826" s="72"/>
      <c r="F826" s="1"/>
      <c r="G826" s="1"/>
      <c r="H826" s="1"/>
      <c r="I826" s="1"/>
      <c r="J826" s="1"/>
      <c r="K826" s="1"/>
      <c r="L826" s="1"/>
      <c r="M826" s="1"/>
      <c r="N826" s="1"/>
    </row>
    <row r="827" ht="27.75" customHeight="1">
      <c r="A827" s="1"/>
      <c r="B827" s="16"/>
      <c r="C827" s="17"/>
      <c r="D827" s="67"/>
      <c r="E827" s="72"/>
      <c r="F827" s="1"/>
      <c r="G827" s="1"/>
      <c r="H827" s="1"/>
      <c r="I827" s="1"/>
      <c r="J827" s="1"/>
      <c r="K827" s="1"/>
      <c r="L827" s="1"/>
      <c r="M827" s="1"/>
      <c r="N827" s="1"/>
    </row>
    <row r="828" ht="27.75" customHeight="1">
      <c r="A828" s="1"/>
      <c r="B828" s="16"/>
      <c r="C828" s="17"/>
      <c r="D828" s="67"/>
      <c r="E828" s="72"/>
      <c r="F828" s="1"/>
      <c r="G828" s="1"/>
      <c r="H828" s="1"/>
      <c r="I828" s="1"/>
      <c r="J828" s="1"/>
      <c r="K828" s="1"/>
      <c r="L828" s="1"/>
      <c r="M828" s="1"/>
      <c r="N828" s="1"/>
    </row>
    <row r="829" ht="27.75" customHeight="1">
      <c r="A829" s="1"/>
      <c r="B829" s="16"/>
      <c r="C829" s="17"/>
      <c r="D829" s="67"/>
      <c r="E829" s="72"/>
      <c r="F829" s="1"/>
      <c r="G829" s="1"/>
      <c r="H829" s="1"/>
      <c r="I829" s="1"/>
      <c r="J829" s="1"/>
      <c r="K829" s="1"/>
      <c r="L829" s="1"/>
      <c r="M829" s="1"/>
      <c r="N829" s="1"/>
    </row>
    <row r="830" ht="27.75" customHeight="1">
      <c r="A830" s="1"/>
      <c r="B830" s="16"/>
      <c r="C830" s="17"/>
      <c r="D830" s="67"/>
      <c r="E830" s="72"/>
      <c r="F830" s="1"/>
      <c r="G830" s="1"/>
      <c r="H830" s="1"/>
      <c r="I830" s="1"/>
      <c r="J830" s="1"/>
      <c r="K830" s="1"/>
      <c r="L830" s="1"/>
      <c r="M830" s="1"/>
      <c r="N830" s="1"/>
    </row>
    <row r="831" ht="27.75" customHeight="1">
      <c r="A831" s="1"/>
      <c r="B831" s="16"/>
      <c r="C831" s="17"/>
      <c r="D831" s="67"/>
      <c r="E831" s="72"/>
      <c r="F831" s="1"/>
      <c r="G831" s="1"/>
      <c r="H831" s="1"/>
      <c r="I831" s="1"/>
      <c r="J831" s="1"/>
      <c r="K831" s="1"/>
      <c r="L831" s="1"/>
      <c r="M831" s="1"/>
      <c r="N831" s="1"/>
    </row>
    <row r="832" ht="27.75" customHeight="1">
      <c r="A832" s="1"/>
      <c r="B832" s="16"/>
      <c r="C832" s="17"/>
      <c r="D832" s="67"/>
      <c r="E832" s="72"/>
      <c r="F832" s="1"/>
      <c r="G832" s="1"/>
      <c r="H832" s="1"/>
      <c r="I832" s="1"/>
      <c r="J832" s="1"/>
      <c r="K832" s="1"/>
      <c r="L832" s="1"/>
      <c r="M832" s="1"/>
      <c r="N832" s="1"/>
    </row>
    <row r="833" ht="27.75" customHeight="1">
      <c r="A833" s="1"/>
      <c r="B833" s="16"/>
      <c r="C833" s="17"/>
      <c r="D833" s="67"/>
      <c r="E833" s="72"/>
      <c r="F833" s="1"/>
      <c r="G833" s="1"/>
      <c r="H833" s="1"/>
      <c r="I833" s="1"/>
      <c r="J833" s="1"/>
      <c r="K833" s="1"/>
      <c r="L833" s="1"/>
      <c r="M833" s="1"/>
      <c r="N833" s="1"/>
    </row>
    <row r="834" ht="27.75" customHeight="1">
      <c r="A834" s="1"/>
      <c r="B834" s="16"/>
      <c r="C834" s="17"/>
      <c r="D834" s="67"/>
      <c r="E834" s="72"/>
      <c r="F834" s="1"/>
      <c r="G834" s="1"/>
      <c r="H834" s="1"/>
      <c r="I834" s="1"/>
      <c r="J834" s="1"/>
      <c r="K834" s="1"/>
      <c r="L834" s="1"/>
      <c r="M834" s="1"/>
      <c r="N834" s="1"/>
    </row>
    <row r="835" ht="27.75" customHeight="1">
      <c r="A835" s="1"/>
      <c r="B835" s="16"/>
      <c r="C835" s="17"/>
      <c r="D835" s="67"/>
      <c r="E835" s="72"/>
      <c r="F835" s="1"/>
      <c r="G835" s="1"/>
      <c r="H835" s="1"/>
      <c r="I835" s="1"/>
      <c r="J835" s="1"/>
      <c r="K835" s="1"/>
      <c r="L835" s="1"/>
      <c r="M835" s="1"/>
      <c r="N835" s="1"/>
    </row>
    <row r="836" ht="27.75" customHeight="1">
      <c r="A836" s="1"/>
      <c r="B836" s="16"/>
      <c r="C836" s="17"/>
      <c r="D836" s="67"/>
      <c r="E836" s="72"/>
      <c r="F836" s="1"/>
      <c r="G836" s="1"/>
      <c r="H836" s="1"/>
      <c r="I836" s="1"/>
      <c r="J836" s="1"/>
      <c r="K836" s="1"/>
      <c r="L836" s="1"/>
      <c r="M836" s="1"/>
      <c r="N836" s="1"/>
    </row>
    <row r="837" ht="27.75" customHeight="1">
      <c r="A837" s="1"/>
      <c r="B837" s="16"/>
      <c r="C837" s="17"/>
      <c r="D837" s="67"/>
      <c r="E837" s="72"/>
      <c r="F837" s="1"/>
      <c r="G837" s="1"/>
      <c r="H837" s="1"/>
      <c r="I837" s="1"/>
      <c r="J837" s="1"/>
      <c r="K837" s="1"/>
      <c r="L837" s="1"/>
      <c r="M837" s="1"/>
      <c r="N837" s="1"/>
    </row>
    <row r="838" ht="27.75" customHeight="1">
      <c r="A838" s="1"/>
      <c r="B838" s="16"/>
      <c r="C838" s="17"/>
      <c r="D838" s="67"/>
      <c r="E838" s="72"/>
      <c r="F838" s="1"/>
      <c r="G838" s="1"/>
      <c r="H838" s="1"/>
      <c r="I838" s="1"/>
      <c r="J838" s="1"/>
      <c r="K838" s="1"/>
      <c r="L838" s="1"/>
      <c r="M838" s="1"/>
      <c r="N838" s="1"/>
    </row>
    <row r="839" ht="27.75" customHeight="1">
      <c r="A839" s="1"/>
      <c r="B839" s="16"/>
      <c r="C839" s="17"/>
      <c r="D839" s="67"/>
      <c r="E839" s="72"/>
      <c r="F839" s="1"/>
      <c r="G839" s="1"/>
      <c r="H839" s="1"/>
      <c r="I839" s="1"/>
      <c r="J839" s="1"/>
      <c r="K839" s="1"/>
      <c r="L839" s="1"/>
      <c r="M839" s="1"/>
      <c r="N839" s="1"/>
    </row>
    <row r="840" ht="27.75" customHeight="1">
      <c r="A840" s="1"/>
      <c r="B840" s="16"/>
      <c r="C840" s="17"/>
      <c r="D840" s="67"/>
      <c r="E840" s="72"/>
      <c r="F840" s="1"/>
      <c r="G840" s="1"/>
      <c r="H840" s="1"/>
      <c r="I840" s="1"/>
      <c r="J840" s="1"/>
      <c r="K840" s="1"/>
      <c r="L840" s="1"/>
      <c r="M840" s="1"/>
      <c r="N840" s="1"/>
    </row>
    <row r="841" ht="27.75" customHeight="1">
      <c r="A841" s="1"/>
      <c r="B841" s="16"/>
      <c r="C841" s="17"/>
      <c r="D841" s="67"/>
      <c r="E841" s="72"/>
      <c r="F841" s="1"/>
      <c r="G841" s="1"/>
      <c r="H841" s="1"/>
      <c r="I841" s="1"/>
      <c r="J841" s="1"/>
      <c r="K841" s="1"/>
      <c r="L841" s="1"/>
      <c r="M841" s="1"/>
      <c r="N841" s="1"/>
    </row>
    <row r="842" ht="27.75" customHeight="1">
      <c r="A842" s="1"/>
      <c r="B842" s="16"/>
      <c r="C842" s="17"/>
      <c r="D842" s="67"/>
      <c r="E842" s="72"/>
      <c r="F842" s="1"/>
      <c r="G842" s="1"/>
      <c r="H842" s="1"/>
      <c r="I842" s="1"/>
      <c r="J842" s="1"/>
      <c r="K842" s="1"/>
      <c r="L842" s="1"/>
      <c r="M842" s="1"/>
      <c r="N842" s="1"/>
    </row>
    <row r="843" ht="27.75" customHeight="1">
      <c r="A843" s="1"/>
      <c r="B843" s="16"/>
      <c r="C843" s="17"/>
      <c r="D843" s="67"/>
      <c r="E843" s="72"/>
      <c r="F843" s="1"/>
      <c r="G843" s="1"/>
      <c r="H843" s="1"/>
      <c r="I843" s="1"/>
      <c r="J843" s="1"/>
      <c r="K843" s="1"/>
      <c r="L843" s="1"/>
      <c r="M843" s="1"/>
      <c r="N843" s="1"/>
    </row>
    <row r="844" ht="27.75" customHeight="1">
      <c r="A844" s="1"/>
      <c r="B844" s="16"/>
      <c r="C844" s="17"/>
      <c r="D844" s="67"/>
      <c r="E844" s="72"/>
      <c r="F844" s="1"/>
      <c r="G844" s="1"/>
      <c r="H844" s="1"/>
      <c r="I844" s="1"/>
      <c r="J844" s="1"/>
      <c r="K844" s="1"/>
      <c r="L844" s="1"/>
      <c r="M844" s="1"/>
      <c r="N844" s="1"/>
    </row>
    <row r="845" ht="27.75" customHeight="1">
      <c r="A845" s="1"/>
      <c r="B845" s="16"/>
      <c r="C845" s="17"/>
      <c r="D845" s="67"/>
      <c r="E845" s="72"/>
      <c r="F845" s="1"/>
      <c r="G845" s="1"/>
      <c r="H845" s="1"/>
      <c r="I845" s="1"/>
      <c r="J845" s="1"/>
      <c r="K845" s="1"/>
      <c r="L845" s="1"/>
      <c r="M845" s="1"/>
      <c r="N845" s="1"/>
    </row>
    <row r="846" ht="27.75" customHeight="1">
      <c r="A846" s="1"/>
      <c r="B846" s="16"/>
      <c r="C846" s="17"/>
      <c r="D846" s="67"/>
      <c r="E846" s="72"/>
      <c r="F846" s="1"/>
      <c r="G846" s="1"/>
      <c r="H846" s="1"/>
      <c r="I846" s="1"/>
      <c r="J846" s="1"/>
      <c r="K846" s="1"/>
      <c r="L846" s="1"/>
      <c r="M846" s="1"/>
      <c r="N846" s="1"/>
    </row>
    <row r="847" ht="27.75" customHeight="1">
      <c r="A847" s="1"/>
      <c r="B847" s="16"/>
      <c r="C847" s="17"/>
      <c r="D847" s="67"/>
      <c r="E847" s="72"/>
      <c r="F847" s="1"/>
      <c r="G847" s="1"/>
      <c r="H847" s="1"/>
      <c r="I847" s="1"/>
      <c r="J847" s="1"/>
      <c r="K847" s="1"/>
      <c r="L847" s="1"/>
      <c r="M847" s="1"/>
      <c r="N847" s="1"/>
    </row>
    <row r="848" ht="27.75" customHeight="1">
      <c r="A848" s="1"/>
      <c r="B848" s="16"/>
      <c r="C848" s="17"/>
      <c r="D848" s="67"/>
      <c r="E848" s="72"/>
      <c r="F848" s="1"/>
      <c r="G848" s="1"/>
      <c r="H848" s="1"/>
      <c r="I848" s="1"/>
      <c r="J848" s="1"/>
      <c r="K848" s="1"/>
      <c r="L848" s="1"/>
      <c r="M848" s="1"/>
      <c r="N848" s="1"/>
    </row>
    <row r="849" ht="27.75" customHeight="1">
      <c r="A849" s="1"/>
      <c r="B849" s="16"/>
      <c r="C849" s="17"/>
      <c r="D849" s="67"/>
      <c r="E849" s="72"/>
      <c r="F849" s="1"/>
      <c r="G849" s="1"/>
      <c r="H849" s="1"/>
      <c r="I849" s="1"/>
      <c r="J849" s="1"/>
      <c r="K849" s="1"/>
      <c r="L849" s="1"/>
      <c r="M849" s="1"/>
      <c r="N849" s="1"/>
    </row>
    <row r="850" ht="27.75" customHeight="1">
      <c r="A850" s="1"/>
      <c r="B850" s="16"/>
      <c r="C850" s="17"/>
      <c r="D850" s="67"/>
      <c r="E850" s="72"/>
      <c r="F850" s="1"/>
      <c r="G850" s="1"/>
      <c r="H850" s="1"/>
      <c r="I850" s="1"/>
      <c r="J850" s="1"/>
      <c r="K850" s="1"/>
      <c r="L850" s="1"/>
      <c r="M850" s="1"/>
      <c r="N850" s="1"/>
    </row>
    <row r="851" ht="27.75" customHeight="1">
      <c r="A851" s="1"/>
      <c r="B851" s="16"/>
      <c r="C851" s="17"/>
      <c r="D851" s="67"/>
      <c r="E851" s="72"/>
      <c r="F851" s="1"/>
      <c r="G851" s="1"/>
      <c r="H851" s="1"/>
      <c r="I851" s="1"/>
      <c r="J851" s="1"/>
      <c r="K851" s="1"/>
      <c r="L851" s="1"/>
      <c r="M851" s="1"/>
      <c r="N851" s="1"/>
    </row>
    <row r="852" ht="27.75" customHeight="1">
      <c r="A852" s="1"/>
      <c r="B852" s="16"/>
      <c r="C852" s="17"/>
      <c r="D852" s="67"/>
      <c r="E852" s="72"/>
      <c r="F852" s="1"/>
      <c r="G852" s="1"/>
      <c r="H852" s="1"/>
      <c r="I852" s="1"/>
      <c r="J852" s="1"/>
      <c r="K852" s="1"/>
      <c r="L852" s="1"/>
      <c r="M852" s="1"/>
      <c r="N852" s="1"/>
    </row>
    <row r="853" ht="27.75" customHeight="1">
      <c r="A853" s="1"/>
      <c r="B853" s="16"/>
      <c r="C853" s="17"/>
      <c r="D853" s="67"/>
      <c r="E853" s="72"/>
      <c r="F853" s="1"/>
      <c r="G853" s="1"/>
      <c r="H853" s="1"/>
      <c r="I853" s="1"/>
      <c r="J853" s="1"/>
      <c r="K853" s="1"/>
      <c r="L853" s="1"/>
      <c r="M853" s="1"/>
      <c r="N853" s="1"/>
    </row>
    <row r="854" ht="27.75" customHeight="1">
      <c r="A854" s="1"/>
      <c r="B854" s="16"/>
      <c r="C854" s="17"/>
      <c r="D854" s="67"/>
      <c r="E854" s="72"/>
      <c r="F854" s="1"/>
      <c r="G854" s="1"/>
      <c r="H854" s="1"/>
      <c r="I854" s="1"/>
      <c r="J854" s="1"/>
      <c r="K854" s="1"/>
      <c r="L854" s="1"/>
      <c r="M854" s="1"/>
      <c r="N854" s="1"/>
    </row>
    <row r="855" ht="27.75" customHeight="1">
      <c r="A855" s="1"/>
      <c r="B855" s="16"/>
      <c r="C855" s="17"/>
      <c r="D855" s="67"/>
      <c r="E855" s="72"/>
      <c r="F855" s="1"/>
      <c r="G855" s="1"/>
      <c r="H855" s="1"/>
      <c r="I855" s="1"/>
      <c r="J855" s="1"/>
      <c r="K855" s="1"/>
      <c r="L855" s="1"/>
      <c r="M855" s="1"/>
      <c r="N855" s="1"/>
    </row>
    <row r="856" ht="27.75" customHeight="1">
      <c r="A856" s="1"/>
      <c r="B856" s="16"/>
      <c r="C856" s="17"/>
      <c r="D856" s="67"/>
      <c r="E856" s="72"/>
      <c r="F856" s="1"/>
      <c r="G856" s="1"/>
      <c r="H856" s="1"/>
      <c r="I856" s="1"/>
      <c r="J856" s="1"/>
      <c r="K856" s="1"/>
      <c r="L856" s="1"/>
      <c r="M856" s="1"/>
      <c r="N856" s="1"/>
    </row>
    <row r="857" ht="27.75" customHeight="1">
      <c r="A857" s="1"/>
      <c r="B857" s="16"/>
      <c r="C857" s="17"/>
      <c r="D857" s="67"/>
      <c r="E857" s="72"/>
      <c r="F857" s="1"/>
      <c r="G857" s="1"/>
      <c r="H857" s="1"/>
      <c r="I857" s="1"/>
      <c r="J857" s="1"/>
      <c r="K857" s="1"/>
      <c r="L857" s="1"/>
      <c r="M857" s="1"/>
      <c r="N857" s="1"/>
    </row>
    <row r="858" ht="27.75" customHeight="1">
      <c r="A858" s="1"/>
      <c r="B858" s="16"/>
      <c r="C858" s="17"/>
      <c r="D858" s="67"/>
      <c r="E858" s="72"/>
      <c r="F858" s="1"/>
      <c r="G858" s="1"/>
      <c r="H858" s="1"/>
      <c r="I858" s="1"/>
      <c r="J858" s="1"/>
      <c r="K858" s="1"/>
      <c r="L858" s="1"/>
      <c r="M858" s="1"/>
      <c r="N858" s="1"/>
    </row>
    <row r="859" ht="27.75" customHeight="1">
      <c r="A859" s="1"/>
      <c r="B859" s="16"/>
      <c r="C859" s="17"/>
      <c r="D859" s="67"/>
      <c r="E859" s="72"/>
      <c r="F859" s="1"/>
      <c r="G859" s="1"/>
      <c r="H859" s="1"/>
      <c r="I859" s="1"/>
      <c r="J859" s="1"/>
      <c r="K859" s="1"/>
      <c r="L859" s="1"/>
      <c r="M859" s="1"/>
      <c r="N859" s="1"/>
    </row>
    <row r="860" ht="27.75" customHeight="1">
      <c r="A860" s="1"/>
      <c r="B860" s="16"/>
      <c r="C860" s="17"/>
      <c r="D860" s="67"/>
      <c r="E860" s="72"/>
      <c r="F860" s="1"/>
      <c r="G860" s="1"/>
      <c r="H860" s="1"/>
      <c r="I860" s="1"/>
      <c r="J860" s="1"/>
      <c r="K860" s="1"/>
      <c r="L860" s="1"/>
      <c r="M860" s="1"/>
      <c r="N860" s="1"/>
    </row>
    <row r="861" ht="27.75" customHeight="1">
      <c r="A861" s="1"/>
      <c r="B861" s="16"/>
      <c r="C861" s="17"/>
      <c r="D861" s="67"/>
      <c r="E861" s="72"/>
      <c r="F861" s="1"/>
      <c r="G861" s="1"/>
      <c r="H861" s="1"/>
      <c r="I861" s="1"/>
      <c r="J861" s="1"/>
      <c r="K861" s="1"/>
      <c r="L861" s="1"/>
      <c r="M861" s="1"/>
      <c r="N861" s="1"/>
    </row>
    <row r="862" ht="27.75" customHeight="1">
      <c r="A862" s="1"/>
      <c r="B862" s="16"/>
      <c r="C862" s="17"/>
      <c r="D862" s="67"/>
      <c r="E862" s="72"/>
      <c r="F862" s="1"/>
      <c r="G862" s="1"/>
      <c r="H862" s="1"/>
      <c r="I862" s="1"/>
      <c r="J862" s="1"/>
      <c r="K862" s="1"/>
      <c r="L862" s="1"/>
      <c r="M862" s="1"/>
      <c r="N862" s="1"/>
    </row>
    <row r="863" ht="27.75" customHeight="1">
      <c r="A863" s="1"/>
      <c r="B863" s="16"/>
      <c r="C863" s="17"/>
      <c r="D863" s="67"/>
      <c r="E863" s="72"/>
      <c r="F863" s="1"/>
      <c r="G863" s="1"/>
      <c r="H863" s="1"/>
      <c r="I863" s="1"/>
      <c r="J863" s="1"/>
      <c r="K863" s="1"/>
      <c r="L863" s="1"/>
      <c r="M863" s="1"/>
      <c r="N863" s="1"/>
    </row>
    <row r="864" ht="27.75" customHeight="1">
      <c r="A864" s="1"/>
      <c r="B864" s="16"/>
      <c r="C864" s="17"/>
      <c r="D864" s="67"/>
      <c r="E864" s="72"/>
      <c r="F864" s="1"/>
      <c r="G864" s="1"/>
      <c r="H864" s="1"/>
      <c r="I864" s="1"/>
      <c r="J864" s="1"/>
      <c r="K864" s="1"/>
      <c r="L864" s="1"/>
      <c r="M864" s="1"/>
      <c r="N864" s="1"/>
    </row>
    <row r="865" ht="27.75" customHeight="1">
      <c r="A865" s="1"/>
      <c r="B865" s="16"/>
      <c r="C865" s="17"/>
      <c r="D865" s="67"/>
      <c r="E865" s="72"/>
      <c r="F865" s="1"/>
      <c r="G865" s="1"/>
      <c r="H865" s="1"/>
      <c r="I865" s="1"/>
      <c r="J865" s="1"/>
      <c r="K865" s="1"/>
      <c r="L865" s="1"/>
      <c r="M865" s="1"/>
      <c r="N865" s="1"/>
    </row>
    <row r="866" ht="27.75" customHeight="1">
      <c r="A866" s="1"/>
      <c r="B866" s="16"/>
      <c r="C866" s="17"/>
      <c r="D866" s="67"/>
      <c r="E866" s="72"/>
      <c r="F866" s="1"/>
      <c r="G866" s="1"/>
      <c r="H866" s="1"/>
      <c r="I866" s="1"/>
      <c r="J866" s="1"/>
      <c r="K866" s="1"/>
      <c r="L866" s="1"/>
      <c r="M866" s="1"/>
      <c r="N866" s="1"/>
    </row>
    <row r="867" ht="27.75" customHeight="1">
      <c r="A867" s="1"/>
      <c r="B867" s="16"/>
      <c r="C867" s="17"/>
      <c r="D867" s="67"/>
      <c r="E867" s="72"/>
      <c r="F867" s="1"/>
      <c r="G867" s="1"/>
      <c r="H867" s="1"/>
      <c r="I867" s="1"/>
      <c r="J867" s="1"/>
      <c r="K867" s="1"/>
      <c r="L867" s="1"/>
      <c r="M867" s="1"/>
      <c r="N867" s="1"/>
    </row>
    <row r="868" ht="27.75" customHeight="1">
      <c r="A868" s="1"/>
      <c r="B868" s="16"/>
      <c r="C868" s="17"/>
      <c r="D868" s="67"/>
      <c r="E868" s="72"/>
      <c r="F868" s="1"/>
      <c r="G868" s="1"/>
      <c r="H868" s="1"/>
      <c r="I868" s="1"/>
      <c r="J868" s="1"/>
      <c r="K868" s="1"/>
      <c r="L868" s="1"/>
      <c r="M868" s="1"/>
      <c r="N868" s="1"/>
    </row>
    <row r="869" ht="27.75" customHeight="1">
      <c r="A869" s="1"/>
      <c r="B869" s="16"/>
      <c r="C869" s="17"/>
      <c r="D869" s="67"/>
      <c r="E869" s="72"/>
      <c r="F869" s="1"/>
      <c r="G869" s="1"/>
      <c r="H869" s="1"/>
      <c r="I869" s="1"/>
      <c r="J869" s="1"/>
      <c r="K869" s="1"/>
      <c r="L869" s="1"/>
      <c r="M869" s="1"/>
      <c r="N869" s="1"/>
    </row>
    <row r="870" ht="27.75" customHeight="1">
      <c r="A870" s="1"/>
      <c r="B870" s="16"/>
      <c r="C870" s="17"/>
      <c r="D870" s="67"/>
      <c r="E870" s="72"/>
      <c r="F870" s="1"/>
      <c r="G870" s="1"/>
      <c r="H870" s="1"/>
      <c r="I870" s="1"/>
      <c r="J870" s="1"/>
      <c r="K870" s="1"/>
      <c r="L870" s="1"/>
      <c r="M870" s="1"/>
      <c r="N870" s="1"/>
    </row>
    <row r="871" ht="27.75" customHeight="1">
      <c r="A871" s="1"/>
      <c r="B871" s="16"/>
      <c r="C871" s="17"/>
      <c r="D871" s="67"/>
      <c r="E871" s="72"/>
      <c r="F871" s="1"/>
      <c r="G871" s="1"/>
      <c r="H871" s="1"/>
      <c r="I871" s="1"/>
      <c r="J871" s="1"/>
      <c r="K871" s="1"/>
      <c r="L871" s="1"/>
      <c r="M871" s="1"/>
      <c r="N871" s="1"/>
    </row>
    <row r="872" ht="27.75" customHeight="1">
      <c r="A872" s="1"/>
      <c r="B872" s="16"/>
      <c r="C872" s="17"/>
      <c r="D872" s="67"/>
      <c r="E872" s="72"/>
      <c r="F872" s="1"/>
      <c r="G872" s="1"/>
      <c r="H872" s="1"/>
      <c r="I872" s="1"/>
      <c r="J872" s="1"/>
      <c r="K872" s="1"/>
      <c r="L872" s="1"/>
      <c r="M872" s="1"/>
      <c r="N872" s="1"/>
    </row>
    <row r="873" ht="27.75" customHeight="1">
      <c r="A873" s="1"/>
      <c r="B873" s="16"/>
      <c r="C873" s="17"/>
      <c r="D873" s="67"/>
      <c r="E873" s="72"/>
      <c r="F873" s="1"/>
      <c r="G873" s="1"/>
      <c r="H873" s="1"/>
      <c r="I873" s="1"/>
      <c r="J873" s="1"/>
      <c r="K873" s="1"/>
      <c r="L873" s="1"/>
      <c r="M873" s="1"/>
      <c r="N873" s="1"/>
    </row>
    <row r="874" ht="27.75" customHeight="1">
      <c r="A874" s="1"/>
      <c r="B874" s="16"/>
      <c r="C874" s="17"/>
      <c r="D874" s="67"/>
      <c r="E874" s="72"/>
      <c r="F874" s="1"/>
      <c r="G874" s="1"/>
      <c r="H874" s="1"/>
      <c r="I874" s="1"/>
      <c r="J874" s="1"/>
      <c r="K874" s="1"/>
      <c r="L874" s="1"/>
      <c r="M874" s="1"/>
      <c r="N874" s="1"/>
    </row>
    <row r="875" ht="27.75" customHeight="1">
      <c r="A875" s="1"/>
      <c r="B875" s="16"/>
      <c r="C875" s="17"/>
      <c r="D875" s="67"/>
      <c r="E875" s="72"/>
      <c r="F875" s="1"/>
      <c r="G875" s="1"/>
      <c r="H875" s="1"/>
      <c r="I875" s="1"/>
      <c r="J875" s="1"/>
      <c r="K875" s="1"/>
      <c r="L875" s="1"/>
      <c r="M875" s="1"/>
      <c r="N875" s="1"/>
    </row>
    <row r="876" ht="27.75" customHeight="1">
      <c r="A876" s="1"/>
      <c r="B876" s="16"/>
      <c r="C876" s="17"/>
      <c r="D876" s="67"/>
      <c r="E876" s="72"/>
      <c r="F876" s="1"/>
      <c r="G876" s="1"/>
      <c r="H876" s="1"/>
      <c r="I876" s="1"/>
      <c r="J876" s="1"/>
      <c r="K876" s="1"/>
      <c r="L876" s="1"/>
      <c r="M876" s="1"/>
      <c r="N876" s="1"/>
    </row>
    <row r="877" ht="27.75" customHeight="1">
      <c r="A877" s="1"/>
      <c r="B877" s="16"/>
      <c r="C877" s="17"/>
      <c r="D877" s="67"/>
      <c r="E877" s="72"/>
      <c r="F877" s="1"/>
      <c r="G877" s="1"/>
      <c r="H877" s="1"/>
      <c r="I877" s="1"/>
      <c r="J877" s="1"/>
      <c r="K877" s="1"/>
      <c r="L877" s="1"/>
      <c r="M877" s="1"/>
      <c r="N877" s="1"/>
    </row>
    <row r="878" ht="27.75" customHeight="1">
      <c r="A878" s="1"/>
      <c r="B878" s="16"/>
      <c r="C878" s="17"/>
      <c r="D878" s="67"/>
      <c r="E878" s="72"/>
      <c r="F878" s="1"/>
      <c r="G878" s="1"/>
      <c r="H878" s="1"/>
      <c r="I878" s="1"/>
      <c r="J878" s="1"/>
      <c r="K878" s="1"/>
      <c r="L878" s="1"/>
      <c r="M878" s="1"/>
      <c r="N878" s="1"/>
    </row>
    <row r="879" ht="27.75" customHeight="1">
      <c r="A879" s="1"/>
      <c r="B879" s="16"/>
      <c r="C879" s="17"/>
      <c r="D879" s="67"/>
      <c r="E879" s="72"/>
      <c r="F879" s="1"/>
      <c r="G879" s="1"/>
      <c r="H879" s="1"/>
      <c r="I879" s="1"/>
      <c r="J879" s="1"/>
      <c r="K879" s="1"/>
      <c r="L879" s="1"/>
      <c r="M879" s="1"/>
      <c r="N879" s="1"/>
    </row>
    <row r="880" ht="27.75" customHeight="1">
      <c r="A880" s="1"/>
      <c r="B880" s="16"/>
      <c r="C880" s="17"/>
      <c r="D880" s="67"/>
      <c r="E880" s="72"/>
      <c r="F880" s="1"/>
      <c r="G880" s="1"/>
      <c r="H880" s="1"/>
      <c r="I880" s="1"/>
      <c r="J880" s="1"/>
      <c r="K880" s="1"/>
      <c r="L880" s="1"/>
      <c r="M880" s="1"/>
      <c r="N880" s="1"/>
    </row>
    <row r="881" ht="27.75" customHeight="1">
      <c r="A881" s="1"/>
      <c r="B881" s="16"/>
      <c r="C881" s="17"/>
      <c r="D881" s="67"/>
      <c r="E881" s="72"/>
      <c r="F881" s="1"/>
      <c r="G881" s="1"/>
      <c r="H881" s="1"/>
      <c r="I881" s="1"/>
      <c r="J881" s="1"/>
      <c r="K881" s="1"/>
      <c r="L881" s="1"/>
      <c r="M881" s="1"/>
      <c r="N881" s="1"/>
    </row>
    <row r="882" ht="27.75" customHeight="1">
      <c r="A882" s="1"/>
      <c r="B882" s="16"/>
      <c r="C882" s="17"/>
      <c r="D882" s="67"/>
      <c r="E882" s="72"/>
      <c r="F882" s="1"/>
      <c r="G882" s="1"/>
      <c r="H882" s="1"/>
      <c r="I882" s="1"/>
      <c r="J882" s="1"/>
      <c r="K882" s="1"/>
      <c r="L882" s="1"/>
      <c r="M882" s="1"/>
      <c r="N882" s="1"/>
    </row>
    <row r="883" ht="27.75" customHeight="1">
      <c r="A883" s="1"/>
      <c r="B883" s="16"/>
      <c r="C883" s="17"/>
      <c r="D883" s="67"/>
      <c r="E883" s="72"/>
      <c r="F883" s="1"/>
      <c r="G883" s="1"/>
      <c r="H883" s="1"/>
      <c r="I883" s="1"/>
      <c r="J883" s="1"/>
      <c r="K883" s="1"/>
      <c r="L883" s="1"/>
      <c r="M883" s="1"/>
      <c r="N883" s="1"/>
    </row>
    <row r="884" ht="27.75" customHeight="1">
      <c r="A884" s="1"/>
      <c r="B884" s="16"/>
      <c r="C884" s="17"/>
      <c r="D884" s="67"/>
      <c r="E884" s="72"/>
      <c r="F884" s="1"/>
      <c r="G884" s="1"/>
      <c r="H884" s="1"/>
      <c r="I884" s="1"/>
      <c r="J884" s="1"/>
      <c r="K884" s="1"/>
      <c r="L884" s="1"/>
      <c r="M884" s="1"/>
      <c r="N884" s="1"/>
    </row>
    <row r="885" ht="27.75" customHeight="1">
      <c r="A885" s="1"/>
      <c r="B885" s="16"/>
      <c r="C885" s="17"/>
      <c r="D885" s="67"/>
      <c r="E885" s="72"/>
      <c r="F885" s="1"/>
      <c r="G885" s="1"/>
      <c r="H885" s="1"/>
      <c r="I885" s="1"/>
      <c r="J885" s="1"/>
      <c r="K885" s="1"/>
      <c r="L885" s="1"/>
      <c r="M885" s="1"/>
      <c r="N885" s="1"/>
    </row>
    <row r="886" ht="27.75" customHeight="1">
      <c r="A886" s="1"/>
      <c r="B886" s="16"/>
      <c r="C886" s="17"/>
      <c r="D886" s="67"/>
      <c r="E886" s="72"/>
      <c r="F886" s="1"/>
      <c r="G886" s="1"/>
      <c r="H886" s="1"/>
      <c r="I886" s="1"/>
      <c r="J886" s="1"/>
      <c r="K886" s="1"/>
      <c r="L886" s="1"/>
      <c r="M886" s="1"/>
      <c r="N886" s="1"/>
    </row>
    <row r="887" ht="27.75" customHeight="1">
      <c r="A887" s="1"/>
      <c r="B887" s="16"/>
      <c r="C887" s="17"/>
      <c r="D887" s="67"/>
      <c r="E887" s="72"/>
      <c r="F887" s="1"/>
      <c r="G887" s="1"/>
      <c r="H887" s="1"/>
      <c r="I887" s="1"/>
      <c r="J887" s="1"/>
      <c r="K887" s="1"/>
      <c r="L887" s="1"/>
      <c r="M887" s="1"/>
      <c r="N887" s="1"/>
    </row>
    <row r="888" ht="27.75" customHeight="1">
      <c r="A888" s="1"/>
      <c r="B888" s="16"/>
      <c r="C888" s="17"/>
      <c r="D888" s="67"/>
      <c r="E888" s="72"/>
      <c r="F888" s="1"/>
      <c r="G888" s="1"/>
      <c r="H888" s="1"/>
      <c r="I888" s="1"/>
      <c r="J888" s="1"/>
      <c r="K888" s="1"/>
      <c r="L888" s="1"/>
      <c r="M888" s="1"/>
      <c r="N888" s="1"/>
    </row>
    <row r="889" ht="27.75" customHeight="1">
      <c r="A889" s="1"/>
      <c r="B889" s="16"/>
      <c r="C889" s="17"/>
      <c r="D889" s="67"/>
      <c r="E889" s="72"/>
      <c r="F889" s="1"/>
      <c r="G889" s="1"/>
      <c r="H889" s="1"/>
      <c r="I889" s="1"/>
      <c r="J889" s="1"/>
      <c r="K889" s="1"/>
      <c r="L889" s="1"/>
      <c r="M889" s="1"/>
      <c r="N889" s="1"/>
    </row>
    <row r="890" ht="27.75" customHeight="1">
      <c r="A890" s="1"/>
      <c r="B890" s="16"/>
      <c r="C890" s="17"/>
      <c r="D890" s="67"/>
      <c r="E890" s="72"/>
      <c r="F890" s="1"/>
      <c r="G890" s="1"/>
      <c r="H890" s="1"/>
      <c r="I890" s="1"/>
      <c r="J890" s="1"/>
      <c r="K890" s="1"/>
      <c r="L890" s="1"/>
      <c r="M890" s="1"/>
      <c r="N890" s="1"/>
    </row>
    <row r="891" ht="27.75" customHeight="1">
      <c r="A891" s="1"/>
      <c r="B891" s="16"/>
      <c r="C891" s="17"/>
      <c r="D891" s="67"/>
      <c r="E891" s="72"/>
      <c r="F891" s="1"/>
      <c r="G891" s="1"/>
      <c r="H891" s="1"/>
      <c r="I891" s="1"/>
      <c r="J891" s="1"/>
      <c r="K891" s="1"/>
      <c r="L891" s="1"/>
      <c r="M891" s="1"/>
      <c r="N891" s="1"/>
    </row>
    <row r="892" ht="27.75" customHeight="1">
      <c r="A892" s="1"/>
      <c r="B892" s="16"/>
      <c r="C892" s="17"/>
      <c r="D892" s="67"/>
      <c r="E892" s="72"/>
      <c r="F892" s="1"/>
      <c r="G892" s="1"/>
      <c r="H892" s="1"/>
      <c r="I892" s="1"/>
      <c r="J892" s="1"/>
      <c r="K892" s="1"/>
      <c r="L892" s="1"/>
      <c r="M892" s="1"/>
      <c r="N892" s="1"/>
    </row>
    <row r="893" ht="27.75" customHeight="1">
      <c r="A893" s="1"/>
      <c r="B893" s="16"/>
      <c r="C893" s="17"/>
      <c r="D893" s="67"/>
      <c r="E893" s="72"/>
      <c r="F893" s="1"/>
      <c r="G893" s="1"/>
      <c r="H893" s="1"/>
      <c r="I893" s="1"/>
      <c r="J893" s="1"/>
      <c r="K893" s="1"/>
      <c r="L893" s="1"/>
      <c r="M893" s="1"/>
      <c r="N893" s="1"/>
    </row>
    <row r="894" ht="27.75" customHeight="1">
      <c r="A894" s="1"/>
      <c r="B894" s="16"/>
      <c r="C894" s="17"/>
      <c r="D894" s="67"/>
      <c r="E894" s="72"/>
      <c r="F894" s="1"/>
      <c r="G894" s="1"/>
      <c r="H894" s="1"/>
      <c r="I894" s="1"/>
      <c r="J894" s="1"/>
      <c r="K894" s="1"/>
      <c r="L894" s="1"/>
      <c r="M894" s="1"/>
      <c r="N894" s="1"/>
    </row>
    <row r="895" ht="27.75" customHeight="1">
      <c r="A895" s="1"/>
      <c r="B895" s="10"/>
      <c r="C895" s="11"/>
      <c r="D895" s="43"/>
      <c r="E895" s="69"/>
      <c r="F895" s="1"/>
      <c r="G895" s="1"/>
      <c r="H895" s="1"/>
      <c r="I895" s="1"/>
      <c r="J895" s="1"/>
      <c r="K895" s="1"/>
      <c r="L895" s="1"/>
      <c r="M895" s="1"/>
      <c r="N895" s="1"/>
    </row>
    <row r="896" ht="27.75" customHeight="1">
      <c r="A896" s="1"/>
      <c r="B896" s="10"/>
      <c r="C896" s="11"/>
      <c r="D896" s="43"/>
      <c r="E896" s="69"/>
      <c r="F896" s="1"/>
      <c r="G896" s="1"/>
      <c r="H896" s="1"/>
      <c r="I896" s="1"/>
      <c r="J896" s="1"/>
      <c r="K896" s="1"/>
      <c r="L896" s="1"/>
      <c r="M896" s="1"/>
      <c r="N896" s="1"/>
    </row>
    <row r="897" ht="27.75" customHeight="1">
      <c r="A897" s="1"/>
      <c r="B897" s="10"/>
      <c r="C897" s="11"/>
      <c r="D897" s="43"/>
      <c r="E897" s="69"/>
      <c r="F897" s="1"/>
      <c r="G897" s="1"/>
      <c r="H897" s="1"/>
      <c r="I897" s="1"/>
      <c r="J897" s="1"/>
      <c r="K897" s="1"/>
      <c r="L897" s="1"/>
      <c r="M897" s="1"/>
      <c r="N897" s="1"/>
    </row>
    <row r="898" ht="27.75" customHeight="1">
      <c r="A898" s="1"/>
      <c r="B898" s="10"/>
      <c r="C898" s="11"/>
      <c r="D898" s="43"/>
      <c r="E898" s="69"/>
      <c r="F898" s="1"/>
      <c r="G898" s="1"/>
      <c r="H898" s="1"/>
      <c r="I898" s="1"/>
      <c r="J898" s="1"/>
      <c r="K898" s="1"/>
      <c r="L898" s="1"/>
      <c r="M898" s="1"/>
      <c r="N898" s="1"/>
    </row>
    <row r="899" ht="27.75" customHeight="1">
      <c r="A899" s="1"/>
      <c r="B899" s="10"/>
      <c r="C899" s="11"/>
      <c r="D899" s="43"/>
      <c r="E899" s="69"/>
      <c r="F899" s="1"/>
      <c r="G899" s="1"/>
      <c r="H899" s="1"/>
      <c r="I899" s="1"/>
      <c r="J899" s="1"/>
      <c r="K899" s="1"/>
      <c r="L899" s="1"/>
      <c r="M899" s="1"/>
      <c r="N899" s="1"/>
    </row>
    <row r="900" ht="27.75" customHeight="1">
      <c r="A900" s="1"/>
      <c r="B900" s="10"/>
      <c r="C900" s="11"/>
      <c r="D900" s="43"/>
      <c r="E900" s="69"/>
      <c r="F900" s="1"/>
      <c r="G900" s="1"/>
      <c r="H900" s="1"/>
      <c r="I900" s="1"/>
      <c r="J900" s="1"/>
      <c r="K900" s="1"/>
      <c r="L900" s="1"/>
      <c r="M900" s="1"/>
      <c r="N900" s="1"/>
    </row>
    <row r="901" ht="27.75" customHeight="1">
      <c r="A901" s="1"/>
      <c r="B901" s="10"/>
      <c r="C901" s="11"/>
      <c r="D901" s="43"/>
      <c r="E901" s="69"/>
      <c r="F901" s="1"/>
      <c r="G901" s="1"/>
      <c r="H901" s="1"/>
      <c r="I901" s="1"/>
      <c r="J901" s="1"/>
      <c r="K901" s="1"/>
      <c r="L901" s="1"/>
      <c r="M901" s="1"/>
      <c r="N901" s="1"/>
    </row>
    <row r="902" ht="27.75" customHeight="1">
      <c r="A902" s="1"/>
      <c r="B902" s="10"/>
      <c r="C902" s="11"/>
      <c r="D902" s="43"/>
      <c r="E902" s="69"/>
      <c r="F902" s="1"/>
      <c r="G902" s="1"/>
      <c r="H902" s="1"/>
      <c r="I902" s="1"/>
      <c r="J902" s="1"/>
      <c r="K902" s="1"/>
      <c r="L902" s="1"/>
      <c r="M902" s="1"/>
      <c r="N902" s="1"/>
    </row>
    <row r="903" ht="27.75" customHeight="1">
      <c r="A903" s="1"/>
      <c r="B903" s="10"/>
      <c r="C903" s="11"/>
      <c r="D903" s="43"/>
      <c r="E903" s="69"/>
      <c r="F903" s="1"/>
      <c r="G903" s="1"/>
      <c r="H903" s="1"/>
      <c r="I903" s="1"/>
      <c r="J903" s="1"/>
      <c r="K903" s="1"/>
      <c r="L903" s="1"/>
      <c r="M903" s="1"/>
      <c r="N903" s="1"/>
    </row>
    <row r="904" ht="27.75" customHeight="1">
      <c r="A904" s="1"/>
      <c r="B904" s="10"/>
      <c r="C904" s="11"/>
      <c r="D904" s="43"/>
      <c r="E904" s="69"/>
      <c r="F904" s="1"/>
      <c r="G904" s="1"/>
      <c r="H904" s="1"/>
      <c r="I904" s="1"/>
      <c r="J904" s="1"/>
      <c r="K904" s="1"/>
      <c r="L904" s="1"/>
      <c r="M904" s="1"/>
      <c r="N904" s="1"/>
    </row>
    <row r="905" ht="27.75" customHeight="1">
      <c r="A905" s="1"/>
      <c r="B905" s="10"/>
      <c r="C905" s="11"/>
      <c r="D905" s="43"/>
      <c r="E905" s="69"/>
      <c r="F905" s="1"/>
      <c r="G905" s="1"/>
      <c r="H905" s="1"/>
      <c r="I905" s="1"/>
      <c r="J905" s="1"/>
      <c r="K905" s="1"/>
      <c r="L905" s="1"/>
      <c r="M905" s="1"/>
      <c r="N905" s="1"/>
    </row>
    <row r="906" ht="27.75" customHeight="1">
      <c r="A906" s="1"/>
      <c r="B906" s="10"/>
      <c r="C906" s="11"/>
      <c r="D906" s="43"/>
      <c r="E906" s="69"/>
      <c r="F906" s="1"/>
      <c r="G906" s="1"/>
      <c r="H906" s="1"/>
      <c r="I906" s="1"/>
      <c r="J906" s="1"/>
      <c r="K906" s="1"/>
      <c r="L906" s="1"/>
      <c r="M906" s="1"/>
      <c r="N906" s="1"/>
    </row>
    <row r="907" ht="27.75" customHeight="1">
      <c r="A907" s="1"/>
      <c r="B907" s="10"/>
      <c r="C907" s="11"/>
      <c r="D907" s="43"/>
      <c r="E907" s="69"/>
      <c r="F907" s="1"/>
      <c r="G907" s="1"/>
      <c r="H907" s="1"/>
      <c r="I907" s="1"/>
      <c r="J907" s="1"/>
      <c r="K907" s="1"/>
      <c r="L907" s="1"/>
      <c r="M907" s="1"/>
      <c r="N907" s="1"/>
    </row>
    <row r="908" ht="27.75" customHeight="1">
      <c r="A908" s="1"/>
      <c r="B908" s="10"/>
      <c r="C908" s="11"/>
      <c r="D908" s="43"/>
      <c r="E908" s="69"/>
      <c r="F908" s="1"/>
      <c r="G908" s="1"/>
      <c r="H908" s="1"/>
      <c r="I908" s="1"/>
      <c r="J908" s="1"/>
      <c r="K908" s="1"/>
      <c r="L908" s="1"/>
      <c r="M908" s="1"/>
      <c r="N908" s="1"/>
    </row>
    <row r="909" ht="27.75" customHeight="1">
      <c r="A909" s="1"/>
      <c r="B909" s="10"/>
      <c r="C909" s="11"/>
      <c r="D909" s="43"/>
      <c r="E909" s="69"/>
      <c r="F909" s="1"/>
      <c r="G909" s="1"/>
      <c r="H909" s="1"/>
      <c r="I909" s="1"/>
      <c r="J909" s="1"/>
      <c r="K909" s="1"/>
      <c r="L909" s="1"/>
      <c r="M909" s="1"/>
      <c r="N909" s="1"/>
    </row>
    <row r="910" ht="27.75" customHeight="1">
      <c r="A910" s="1"/>
      <c r="B910" s="10"/>
      <c r="C910" s="11"/>
      <c r="D910" s="43"/>
      <c r="E910" s="69"/>
      <c r="F910" s="1"/>
      <c r="G910" s="1"/>
      <c r="H910" s="1"/>
      <c r="I910" s="1"/>
      <c r="J910" s="1"/>
      <c r="K910" s="1"/>
      <c r="L910" s="1"/>
      <c r="M910" s="1"/>
      <c r="N910" s="1"/>
    </row>
    <row r="911" ht="27.75" customHeight="1">
      <c r="A911" s="1"/>
      <c r="B911" s="10"/>
      <c r="C911" s="11"/>
      <c r="D911" s="43"/>
      <c r="E911" s="69"/>
      <c r="F911" s="1"/>
      <c r="G911" s="1"/>
      <c r="H911" s="1"/>
      <c r="I911" s="1"/>
      <c r="J911" s="1"/>
      <c r="K911" s="1"/>
      <c r="L911" s="1"/>
      <c r="M911" s="1"/>
      <c r="N911" s="1"/>
    </row>
    <row r="912" ht="27.75" customHeight="1">
      <c r="A912" s="1"/>
      <c r="B912" s="10"/>
      <c r="C912" s="11"/>
      <c r="D912" s="43"/>
      <c r="E912" s="69"/>
      <c r="F912" s="1"/>
      <c r="G912" s="1"/>
      <c r="H912" s="1"/>
      <c r="I912" s="1"/>
      <c r="J912" s="1"/>
      <c r="K912" s="1"/>
      <c r="L912" s="1"/>
      <c r="M912" s="1"/>
      <c r="N912" s="1"/>
    </row>
    <row r="913" ht="27.75" customHeight="1">
      <c r="A913" s="1"/>
      <c r="B913" s="10"/>
      <c r="C913" s="11"/>
      <c r="D913" s="43"/>
      <c r="E913" s="69"/>
      <c r="F913" s="1"/>
      <c r="G913" s="1"/>
      <c r="H913" s="1"/>
      <c r="I913" s="1"/>
      <c r="J913" s="1"/>
      <c r="K913" s="1"/>
      <c r="L913" s="1"/>
      <c r="M913" s="1"/>
      <c r="N913" s="1"/>
    </row>
    <row r="914" ht="27.75" customHeight="1">
      <c r="A914" s="1"/>
      <c r="B914" s="10"/>
      <c r="C914" s="11"/>
      <c r="D914" s="43"/>
      <c r="E914" s="69"/>
      <c r="F914" s="1"/>
      <c r="G914" s="1"/>
      <c r="H914" s="1"/>
      <c r="I914" s="1"/>
      <c r="J914" s="1"/>
      <c r="K914" s="1"/>
      <c r="L914" s="1"/>
      <c r="M914" s="1"/>
      <c r="N914" s="1"/>
    </row>
    <row r="915" ht="27.75" customHeight="1">
      <c r="A915" s="1"/>
      <c r="B915" s="10"/>
      <c r="C915" s="11"/>
      <c r="D915" s="43"/>
      <c r="E915" s="69"/>
      <c r="F915" s="1"/>
      <c r="G915" s="1"/>
      <c r="H915" s="1"/>
      <c r="I915" s="1"/>
      <c r="J915" s="1"/>
      <c r="K915" s="1"/>
      <c r="L915" s="1"/>
      <c r="M915" s="1"/>
      <c r="N915" s="1"/>
    </row>
    <row r="916" ht="27.75" customHeight="1">
      <c r="A916" s="1"/>
      <c r="B916" s="10"/>
      <c r="C916" s="11"/>
      <c r="D916" s="43"/>
      <c r="E916" s="69"/>
      <c r="F916" s="1"/>
      <c r="G916" s="1"/>
      <c r="H916" s="1"/>
      <c r="I916" s="1"/>
      <c r="J916" s="1"/>
      <c r="K916" s="1"/>
      <c r="L916" s="1"/>
      <c r="M916" s="1"/>
      <c r="N916" s="1"/>
    </row>
    <row r="917" ht="27.75" customHeight="1">
      <c r="A917" s="1"/>
      <c r="B917" s="10"/>
      <c r="C917" s="11"/>
      <c r="D917" s="43"/>
      <c r="E917" s="69"/>
      <c r="F917" s="1"/>
      <c r="G917" s="1"/>
      <c r="H917" s="1"/>
      <c r="I917" s="1"/>
      <c r="J917" s="1"/>
      <c r="K917" s="1"/>
      <c r="L917" s="1"/>
      <c r="M917" s="1"/>
      <c r="N917" s="1"/>
    </row>
    <row r="918" ht="27.75" customHeight="1">
      <c r="A918" s="1"/>
      <c r="B918" s="10"/>
      <c r="C918" s="11"/>
      <c r="D918" s="43"/>
      <c r="E918" s="69"/>
      <c r="F918" s="1"/>
      <c r="G918" s="1"/>
      <c r="H918" s="1"/>
      <c r="I918" s="1"/>
      <c r="J918" s="1"/>
      <c r="K918" s="1"/>
      <c r="L918" s="1"/>
      <c r="M918" s="1"/>
      <c r="N918" s="1"/>
    </row>
    <row r="919" ht="27.75" customHeight="1">
      <c r="A919" s="1"/>
      <c r="B919" s="10"/>
      <c r="C919" s="11"/>
      <c r="D919" s="43"/>
      <c r="E919" s="69"/>
      <c r="F919" s="1"/>
      <c r="G919" s="1"/>
      <c r="H919" s="1"/>
      <c r="I919" s="1"/>
      <c r="J919" s="1"/>
      <c r="K919" s="1"/>
      <c r="L919" s="1"/>
      <c r="M919" s="1"/>
      <c r="N919" s="1"/>
    </row>
    <row r="920" ht="27.75" customHeight="1">
      <c r="A920" s="1"/>
      <c r="B920" s="10"/>
      <c r="C920" s="11"/>
      <c r="D920" s="43"/>
      <c r="E920" s="69"/>
      <c r="F920" s="1"/>
      <c r="G920" s="1"/>
      <c r="H920" s="1"/>
      <c r="I920" s="1"/>
      <c r="J920" s="1"/>
      <c r="K920" s="1"/>
      <c r="L920" s="1"/>
      <c r="M920" s="1"/>
      <c r="N920" s="1"/>
    </row>
    <row r="921" ht="27.75" customHeight="1">
      <c r="A921" s="1"/>
      <c r="B921" s="10"/>
      <c r="C921" s="11"/>
      <c r="D921" s="43"/>
      <c r="E921" s="69"/>
      <c r="F921" s="1"/>
      <c r="G921" s="1"/>
      <c r="H921" s="1"/>
      <c r="I921" s="1"/>
      <c r="J921" s="1"/>
      <c r="K921" s="1"/>
      <c r="L921" s="1"/>
      <c r="M921" s="1"/>
      <c r="N921" s="1"/>
    </row>
    <row r="922" ht="24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ht="24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ht="24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ht="30.0" customHeight="1">
      <c r="A925" s="1"/>
      <c r="B925" s="37" t="s">
        <v>195</v>
      </c>
      <c r="F925" s="1"/>
      <c r="G925" s="1"/>
      <c r="H925" s="1"/>
      <c r="I925" s="1"/>
      <c r="J925" s="1"/>
      <c r="K925" s="1"/>
      <c r="L925" s="1"/>
      <c r="M925" s="1"/>
      <c r="N925" s="1"/>
    </row>
    <row r="926" ht="24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ht="37.5" customHeight="1">
      <c r="A927" s="1"/>
      <c r="B927" s="53" t="s">
        <v>41</v>
      </c>
      <c r="C927" s="53" t="s">
        <v>196</v>
      </c>
      <c r="D927" s="53" t="s">
        <v>197</v>
      </c>
      <c r="E927" s="53" t="s">
        <v>38</v>
      </c>
      <c r="F927" s="1"/>
      <c r="G927" s="1"/>
      <c r="H927" s="1"/>
      <c r="I927" s="1"/>
      <c r="J927" s="1"/>
      <c r="K927" s="1"/>
      <c r="L927" s="1"/>
      <c r="M927" s="1"/>
      <c r="N927" s="1"/>
    </row>
    <row r="928" ht="24.75" customHeight="1">
      <c r="A928" s="1"/>
      <c r="B928" s="73" t="str">
        <f>IF(EDATE(DATE(YEAR(IF(COUNT(Inversiones!$F$30:$F$149)=0,'Configuración'!$C$8,MIN(Inversiones!$F$30:$F$149))),MONTH(IF(COUNT(Inversiones!$F$30:$F$149)=0,'Configuración'!$C$8,MIN(Inversiones!$F$30:$F$149))),1),0)&gt;EOMONTH('Configuración'!$C$8,0),"",TEXT(EDATE(DATE(YEAR(IF(COUNT(Inversiones!$F$30:$F$149)=0,'Configuración'!$C$8,MIN(Inversiones!$F$30:$F$149))),MONTH(IF(COUNT(Inversiones!$F$30:$F$149)=0,'Configuración'!$C$8,MIN(Inversiones!$F$30:$F$149))),1),0),"mmm yyyy"))</f>
        <v>ene 2026</v>
      </c>
      <c r="C928" s="74">
        <f>IF(EDATE(DATE(YEAR(IF(COUNT(Inversiones!$F$30:$F$149)=0,'Configuración'!$C$8,MIN(Inversiones!$F$30:$F$149))),MONTH(IF(COUNT(Inversiones!$F$30:$F$149)=0,'Configuración'!$C$8,MIN(Inversiones!$F$30:$F$149))),1),0)&gt;EOMONTH('Configuración'!$C$8,0),"",IF(Inversiones!$D$4="Todos",IF(SUMIFS('Cálculos'!$E$278:$E$334,'Cálculos'!$B$278:$B$334,EDATE(DATE(YEAR(IF(COUNT(Inversiones!$F$30:$F$149)=0,'Configuración'!$C$8,MIN(Inversiones!$F$30:$F$149))),MONTH(IF(COUNT(Inversiones!$F$30:$F$149)=0,'Configuración'!$C$8,MIN(Inversiones!$F$30:$F$149))),1),0))=COUNTA(Inversiones!$B$30:$B$149),SUMIFS('Cálculos'!$G$278:$G$334,'Cálculos'!$B$278:$B$334,EDATE(DATE(YEAR(IF(COUNT(Inversiones!$F$30:$F$149)=0,'Configuración'!$C$8,MIN(Inversiones!$F$30:$F$149))),MONTH(IF(COUNT(Inversiones!$F$30:$F$149)=0,'Configuración'!$C$8,MIN(Inversiones!$F$30:$F$149))),1),0)),""),IF(SUMIFS('Cálculos'!$E$278:$E$334,'Cálculos'!$B$278:$B$334,EDATE(DATE(YEAR(IF(COUNT(Inversiones!$F$30:$F$149)=0,'Configuración'!$C$8,MIN(Inversiones!$F$30:$F$149))),MONTH(IF(COUNT(Inversiones!$F$30:$F$149)=0,'Configuración'!$C$8,MIN(Inversiones!$F$30:$F$149))),1),0),'Cálculos'!$C$278:$C$334,'Cálculos'!$I$4)=1,SUMIFS('Cálculos'!$G$278:$G$334,'Cálculos'!$B$278:$B$334,EDATE(DATE(YEAR(IF(COUNT(Inversiones!$F$30:$F$149)=0,'Configuración'!$C$8,MIN(Inversiones!$F$30:$F$149))),MONTH(IF(COUNT(Inversiones!$F$30:$F$149)=0,'Configuración'!$C$8,MIN(Inversiones!$F$30:$F$149))),1),0),'Cálculos'!$C$278:$C$334,'Cálculos'!$I$4),"")))</f>
        <v>0</v>
      </c>
      <c r="D928" s="74">
        <f>IF(EDATE(DATE(YEAR(IF(COUNT(Inversiones!$F$30:$F$149)=0,'Configuración'!$C$8,MIN(Inversiones!$F$30:$F$149))),MONTH(IF(COUNT(Inversiones!$F$30:$F$149)=0,'Configuración'!$C$8,MIN(Inversiones!$F$30:$F$149))),1),0)&gt;EOMONTH('Configuración'!$C$8,0),"",IF(Inversiones!$D$4="Todos",IF(SUMIFS('Cálculos'!$K$278:$K$334,'Cálculos'!$B$278:$B$334,EDATE(DATE(YEAR(IF(COUNT(Inversiones!$F$30:$F$149)=0,'Configuración'!$C$8,MIN(Inversiones!$F$30:$F$149))),MONTH(IF(COUNT(Inversiones!$F$30:$F$149)=0,'Configuración'!$C$8,MIN(Inversiones!$F$30:$F$149))),1),0))=COUNTA(Inversiones!$B$30:$B$149),SUMIFS('Cálculos'!$J$278:$J$334,'Cálculos'!$B$278:$B$334,EDATE(DATE(YEAR(IF(COUNT(Inversiones!$F$30:$F$149)=0,'Configuración'!$C$8,MIN(Inversiones!$F$30:$F$149))),MONTH(IF(COUNT(Inversiones!$F$30:$F$149)=0,'Configuración'!$C$8,MIN(Inversiones!$F$30:$F$149))),1),0)),""),IF(SUMIFS('Cálculos'!$K$278:$K$334,'Cálculos'!$B$278:$B$334,EDATE(DATE(YEAR(IF(COUNT(Inversiones!$F$30:$F$149)=0,'Configuración'!$C$8,MIN(Inversiones!$F$30:$F$149))),MONTH(IF(COUNT(Inversiones!$F$30:$F$149)=0,'Configuración'!$C$8,MIN(Inversiones!$F$30:$F$149))),1),0),'Cálculos'!$C$278:$C$334,'Cálculos'!$I$4)=1,SUMIFS('Cálculos'!$J$278:$J$334,'Cálculos'!$B$278:$B$334,EDATE(DATE(YEAR(IF(COUNT(Inversiones!$F$30:$F$149)=0,'Configuración'!$C$8,MIN(Inversiones!$F$30:$F$149))),MONTH(IF(COUNT(Inversiones!$F$30:$F$149)=0,'Configuración'!$C$8,MIN(Inversiones!$F$30:$F$149))),1),0),'Cálculos'!$C$278:$C$334,'Cálculos'!$I$4),"")))</f>
        <v>0</v>
      </c>
      <c r="E928" s="74">
        <f t="shared" ref="E928:E946" si="2">IF(COUNT(C928,D928)&lt;2,"",D928-C928)</f>
        <v>0</v>
      </c>
      <c r="F928" s="1"/>
      <c r="G928" s="1"/>
      <c r="H928" s="1"/>
      <c r="I928" s="1"/>
      <c r="J928" s="1"/>
      <c r="K928" s="1"/>
      <c r="L928" s="1"/>
      <c r="M928" s="1"/>
      <c r="N928" s="1"/>
    </row>
    <row r="929" ht="24.75" customHeight="1">
      <c r="A929" s="1"/>
      <c r="B929" s="75" t="str">
        <f>IF(EDATE(DATE(YEAR(IF(COUNT(Inversiones!$F$30:$F$149)=0,'Configuración'!$C$8,MIN(Inversiones!$F$30:$F$149))),MONTH(IF(COUNT(Inversiones!$F$30:$F$149)=0,'Configuración'!$C$8,MIN(Inversiones!$F$30:$F$149))),1),1)&gt;EOMONTH('Configuración'!$C$8,0),"",TEXT(EDATE(DATE(YEAR(IF(COUNT(Inversiones!$F$30:$F$149)=0,'Configuración'!$C$8,MIN(Inversiones!$F$30:$F$149))),MONTH(IF(COUNT(Inversiones!$F$30:$F$149)=0,'Configuración'!$C$8,MIN(Inversiones!$F$30:$F$149))),1),1),"mmm yyyy"))</f>
        <v/>
      </c>
      <c r="C929" s="76" t="str">
        <f>IF(EDATE(DATE(YEAR(IF(COUNT(Inversiones!$F$30:$F$149)=0,'Configuración'!$C$8,MIN(Inversiones!$F$30:$F$149))),MONTH(IF(COUNT(Inversiones!$F$30:$F$149)=0,'Configuración'!$C$8,MIN(Inversiones!$F$30:$F$149))),1),1)&gt;EOMONTH('Configuración'!$C$8,0),"",IF(Inversiones!$D$4="Todos",IF(SUMIFS('Cálculos'!$E$278:$E$334,'Cálculos'!$B$278:$B$334,EDATE(DATE(YEAR(IF(COUNT(Inversiones!$F$30:$F$149)=0,'Configuración'!$C$8,MIN(Inversiones!$F$30:$F$149))),MONTH(IF(COUNT(Inversiones!$F$30:$F$149)=0,'Configuración'!$C$8,MIN(Inversiones!$F$30:$F$149))),1),1))=COUNTA(Inversiones!$B$30:$B$149),SUMIFS('Cálculos'!$G$278:$G$334,'Cálculos'!$B$278:$B$334,EDATE(DATE(YEAR(IF(COUNT(Inversiones!$F$30:$F$149)=0,'Configuración'!$C$8,MIN(Inversiones!$F$30:$F$149))),MONTH(IF(COUNT(Inversiones!$F$30:$F$149)=0,'Configuración'!$C$8,MIN(Inversiones!$F$30:$F$149))),1),1)),""),IF(SUMIFS('Cálculos'!$E$278:$E$334,'Cálculos'!$B$278:$B$334,EDATE(DATE(YEAR(IF(COUNT(Inversiones!$F$30:$F$149)=0,'Configuración'!$C$8,MIN(Inversiones!$F$30:$F$149))),MONTH(IF(COUNT(Inversiones!$F$30:$F$149)=0,'Configuración'!$C$8,MIN(Inversiones!$F$30:$F$149))),1),1),'Cálculos'!$C$278:$C$334,'Cálculos'!$I$4)=1,SUMIFS('Cálculos'!$G$278:$G$334,'Cálculos'!$B$278:$B$334,EDATE(DATE(YEAR(IF(COUNT(Inversiones!$F$30:$F$149)=0,'Configuración'!$C$8,MIN(Inversiones!$F$30:$F$149))),MONTH(IF(COUNT(Inversiones!$F$30:$F$149)=0,'Configuración'!$C$8,MIN(Inversiones!$F$30:$F$149))),1),1),'Cálculos'!$C$278:$C$334,'Cálculos'!$I$4),"")))</f>
        <v/>
      </c>
      <c r="D929" s="76" t="str">
        <f>IF(EDATE(DATE(YEAR(IF(COUNT(Inversiones!$F$30:$F$149)=0,'Configuración'!$C$8,MIN(Inversiones!$F$30:$F$149))),MONTH(IF(COUNT(Inversiones!$F$30:$F$149)=0,'Configuración'!$C$8,MIN(Inversiones!$F$30:$F$149))),1),1)&gt;EOMONTH('Configuración'!$C$8,0),"",IF(Inversiones!$D$4="Todos",IF(SUMIFS('Cálculos'!$K$278:$K$334,'Cálculos'!$B$278:$B$334,EDATE(DATE(YEAR(IF(COUNT(Inversiones!$F$30:$F$149)=0,'Configuración'!$C$8,MIN(Inversiones!$F$30:$F$149))),MONTH(IF(COUNT(Inversiones!$F$30:$F$149)=0,'Configuración'!$C$8,MIN(Inversiones!$F$30:$F$149))),1),1))=COUNTA(Inversiones!$B$30:$B$149),SUMIFS('Cálculos'!$J$278:$J$334,'Cálculos'!$B$278:$B$334,EDATE(DATE(YEAR(IF(COUNT(Inversiones!$F$30:$F$149)=0,'Configuración'!$C$8,MIN(Inversiones!$F$30:$F$149))),MONTH(IF(COUNT(Inversiones!$F$30:$F$149)=0,'Configuración'!$C$8,MIN(Inversiones!$F$30:$F$149))),1),1)),""),IF(SUMIFS('Cálculos'!$K$278:$K$334,'Cálculos'!$B$278:$B$334,EDATE(DATE(YEAR(IF(COUNT(Inversiones!$F$30:$F$149)=0,'Configuración'!$C$8,MIN(Inversiones!$F$30:$F$149))),MONTH(IF(COUNT(Inversiones!$F$30:$F$149)=0,'Configuración'!$C$8,MIN(Inversiones!$F$30:$F$149))),1),1),'Cálculos'!$C$278:$C$334,'Cálculos'!$I$4)=1,SUMIFS('Cálculos'!$J$278:$J$334,'Cálculos'!$B$278:$B$334,EDATE(DATE(YEAR(IF(COUNT(Inversiones!$F$30:$F$149)=0,'Configuración'!$C$8,MIN(Inversiones!$F$30:$F$149))),MONTH(IF(COUNT(Inversiones!$F$30:$F$149)=0,'Configuración'!$C$8,MIN(Inversiones!$F$30:$F$149))),1),1),'Cálculos'!$C$278:$C$334,'Cálculos'!$I$4),"")))</f>
        <v/>
      </c>
      <c r="E929" s="76" t="str">
        <f t="shared" si="2"/>
        <v/>
      </c>
      <c r="F929" s="1"/>
      <c r="G929" s="1"/>
      <c r="H929" s="1"/>
      <c r="I929" s="1"/>
      <c r="J929" s="1"/>
      <c r="K929" s="1"/>
      <c r="L929" s="1"/>
      <c r="M929" s="1"/>
      <c r="N929" s="1"/>
    </row>
    <row r="930" ht="24.75" customHeight="1">
      <c r="A930" s="1"/>
      <c r="B930" s="73" t="str">
        <f>IF(EDATE(DATE(YEAR(IF(COUNT(Inversiones!$F$30:$F$149)=0,'Configuración'!$C$8,MIN(Inversiones!$F$30:$F$149))),MONTH(IF(COUNT(Inversiones!$F$30:$F$149)=0,'Configuración'!$C$8,MIN(Inversiones!$F$30:$F$149))),1),2)&gt;EOMONTH('Configuración'!$C$8,0),"",TEXT(EDATE(DATE(YEAR(IF(COUNT(Inversiones!$F$30:$F$149)=0,'Configuración'!$C$8,MIN(Inversiones!$F$30:$F$149))),MONTH(IF(COUNT(Inversiones!$F$30:$F$149)=0,'Configuración'!$C$8,MIN(Inversiones!$F$30:$F$149))),1),2),"mmm yyyy"))</f>
        <v/>
      </c>
      <c r="C930" s="74" t="str">
        <f>IF(EDATE(DATE(YEAR(IF(COUNT(Inversiones!$F$30:$F$149)=0,'Configuración'!$C$8,MIN(Inversiones!$F$30:$F$149))),MONTH(IF(COUNT(Inversiones!$F$30:$F$149)=0,'Configuración'!$C$8,MIN(Inversiones!$F$30:$F$149))),1),2)&gt;EOMONTH('Configuración'!$C$8,0),"",IF(Inversiones!$D$4="Todos",IF(SUMIFS('Cálculos'!$E$278:$E$334,'Cálculos'!$B$278:$B$334,EDATE(DATE(YEAR(IF(COUNT(Inversiones!$F$30:$F$149)=0,'Configuración'!$C$8,MIN(Inversiones!$F$30:$F$149))),MONTH(IF(COUNT(Inversiones!$F$30:$F$149)=0,'Configuración'!$C$8,MIN(Inversiones!$F$30:$F$149))),1),2))=COUNTA(Inversiones!$B$30:$B$149),SUMIFS('Cálculos'!$G$278:$G$334,'Cálculos'!$B$278:$B$334,EDATE(DATE(YEAR(IF(COUNT(Inversiones!$F$30:$F$149)=0,'Configuración'!$C$8,MIN(Inversiones!$F$30:$F$149))),MONTH(IF(COUNT(Inversiones!$F$30:$F$149)=0,'Configuración'!$C$8,MIN(Inversiones!$F$30:$F$149))),1),2)),""),IF(SUMIFS('Cálculos'!$E$278:$E$334,'Cálculos'!$B$278:$B$334,EDATE(DATE(YEAR(IF(COUNT(Inversiones!$F$30:$F$149)=0,'Configuración'!$C$8,MIN(Inversiones!$F$30:$F$149))),MONTH(IF(COUNT(Inversiones!$F$30:$F$149)=0,'Configuración'!$C$8,MIN(Inversiones!$F$30:$F$149))),1),2),'Cálculos'!$C$278:$C$334,'Cálculos'!$I$4)=1,SUMIFS('Cálculos'!$G$278:$G$334,'Cálculos'!$B$278:$B$334,EDATE(DATE(YEAR(IF(COUNT(Inversiones!$F$30:$F$149)=0,'Configuración'!$C$8,MIN(Inversiones!$F$30:$F$149))),MONTH(IF(COUNT(Inversiones!$F$30:$F$149)=0,'Configuración'!$C$8,MIN(Inversiones!$F$30:$F$149))),1),2),'Cálculos'!$C$278:$C$334,'Cálculos'!$I$4),"")))</f>
        <v/>
      </c>
      <c r="D930" s="74" t="str">
        <f>IF(EDATE(DATE(YEAR(IF(COUNT(Inversiones!$F$30:$F$149)=0,'Configuración'!$C$8,MIN(Inversiones!$F$30:$F$149))),MONTH(IF(COUNT(Inversiones!$F$30:$F$149)=0,'Configuración'!$C$8,MIN(Inversiones!$F$30:$F$149))),1),2)&gt;EOMONTH('Configuración'!$C$8,0),"",IF(Inversiones!$D$4="Todos",IF(SUMIFS('Cálculos'!$K$278:$K$334,'Cálculos'!$B$278:$B$334,EDATE(DATE(YEAR(IF(COUNT(Inversiones!$F$30:$F$149)=0,'Configuración'!$C$8,MIN(Inversiones!$F$30:$F$149))),MONTH(IF(COUNT(Inversiones!$F$30:$F$149)=0,'Configuración'!$C$8,MIN(Inversiones!$F$30:$F$149))),1),2))=COUNTA(Inversiones!$B$30:$B$149),SUMIFS('Cálculos'!$J$278:$J$334,'Cálculos'!$B$278:$B$334,EDATE(DATE(YEAR(IF(COUNT(Inversiones!$F$30:$F$149)=0,'Configuración'!$C$8,MIN(Inversiones!$F$30:$F$149))),MONTH(IF(COUNT(Inversiones!$F$30:$F$149)=0,'Configuración'!$C$8,MIN(Inversiones!$F$30:$F$149))),1),2)),""),IF(SUMIFS('Cálculos'!$K$278:$K$334,'Cálculos'!$B$278:$B$334,EDATE(DATE(YEAR(IF(COUNT(Inversiones!$F$30:$F$149)=0,'Configuración'!$C$8,MIN(Inversiones!$F$30:$F$149))),MONTH(IF(COUNT(Inversiones!$F$30:$F$149)=0,'Configuración'!$C$8,MIN(Inversiones!$F$30:$F$149))),1),2),'Cálculos'!$C$278:$C$334,'Cálculos'!$I$4)=1,SUMIFS('Cálculos'!$J$278:$J$334,'Cálculos'!$B$278:$B$334,EDATE(DATE(YEAR(IF(COUNT(Inversiones!$F$30:$F$149)=0,'Configuración'!$C$8,MIN(Inversiones!$F$30:$F$149))),MONTH(IF(COUNT(Inversiones!$F$30:$F$149)=0,'Configuración'!$C$8,MIN(Inversiones!$F$30:$F$149))),1),2),'Cálculos'!$C$278:$C$334,'Cálculos'!$I$4),"")))</f>
        <v/>
      </c>
      <c r="E930" s="74" t="str">
        <f t="shared" si="2"/>
        <v/>
      </c>
      <c r="F930" s="1"/>
      <c r="G930" s="1"/>
      <c r="H930" s="1"/>
      <c r="I930" s="1"/>
      <c r="J930" s="1"/>
      <c r="K930" s="1"/>
      <c r="L930" s="1"/>
      <c r="M930" s="1"/>
      <c r="N930" s="1"/>
    </row>
    <row r="931" ht="24.75" customHeight="1">
      <c r="A931" s="1"/>
      <c r="B931" s="75" t="str">
        <f>IF(EDATE(DATE(YEAR(IF(COUNT(Inversiones!$F$30:$F$149)=0,'Configuración'!$C$8,MIN(Inversiones!$F$30:$F$149))),MONTH(IF(COUNT(Inversiones!$F$30:$F$149)=0,'Configuración'!$C$8,MIN(Inversiones!$F$30:$F$149))),1),3)&gt;EOMONTH('Configuración'!$C$8,0),"",TEXT(EDATE(DATE(YEAR(IF(COUNT(Inversiones!$F$30:$F$149)=0,'Configuración'!$C$8,MIN(Inversiones!$F$30:$F$149))),MONTH(IF(COUNT(Inversiones!$F$30:$F$149)=0,'Configuración'!$C$8,MIN(Inversiones!$F$30:$F$149))),1),3),"mmm yyyy"))</f>
        <v/>
      </c>
      <c r="C931" s="76" t="str">
        <f>IF(EDATE(DATE(YEAR(IF(COUNT(Inversiones!$F$30:$F$149)=0,'Configuración'!$C$8,MIN(Inversiones!$F$30:$F$149))),MONTH(IF(COUNT(Inversiones!$F$30:$F$149)=0,'Configuración'!$C$8,MIN(Inversiones!$F$30:$F$149))),1),3)&gt;EOMONTH('Configuración'!$C$8,0),"",IF(Inversiones!$D$4="Todos",IF(SUMIFS('Cálculos'!$E$278:$E$334,'Cálculos'!$B$278:$B$334,EDATE(DATE(YEAR(IF(COUNT(Inversiones!$F$30:$F$149)=0,'Configuración'!$C$8,MIN(Inversiones!$F$30:$F$149))),MONTH(IF(COUNT(Inversiones!$F$30:$F$149)=0,'Configuración'!$C$8,MIN(Inversiones!$F$30:$F$149))),1),3))=COUNTA(Inversiones!$B$30:$B$149),SUMIFS('Cálculos'!$G$278:$G$334,'Cálculos'!$B$278:$B$334,EDATE(DATE(YEAR(IF(COUNT(Inversiones!$F$30:$F$149)=0,'Configuración'!$C$8,MIN(Inversiones!$F$30:$F$149))),MONTH(IF(COUNT(Inversiones!$F$30:$F$149)=0,'Configuración'!$C$8,MIN(Inversiones!$F$30:$F$149))),1),3)),""),IF(SUMIFS('Cálculos'!$E$278:$E$334,'Cálculos'!$B$278:$B$334,EDATE(DATE(YEAR(IF(COUNT(Inversiones!$F$30:$F$149)=0,'Configuración'!$C$8,MIN(Inversiones!$F$30:$F$149))),MONTH(IF(COUNT(Inversiones!$F$30:$F$149)=0,'Configuración'!$C$8,MIN(Inversiones!$F$30:$F$149))),1),3),'Cálculos'!$C$278:$C$334,'Cálculos'!$I$4)=1,SUMIFS('Cálculos'!$G$278:$G$334,'Cálculos'!$B$278:$B$334,EDATE(DATE(YEAR(IF(COUNT(Inversiones!$F$30:$F$149)=0,'Configuración'!$C$8,MIN(Inversiones!$F$30:$F$149))),MONTH(IF(COUNT(Inversiones!$F$30:$F$149)=0,'Configuración'!$C$8,MIN(Inversiones!$F$30:$F$149))),1),3),'Cálculos'!$C$278:$C$334,'Cálculos'!$I$4),"")))</f>
        <v/>
      </c>
      <c r="D931" s="76" t="str">
        <f>IF(EDATE(DATE(YEAR(IF(COUNT(Inversiones!$F$30:$F$149)=0,'Configuración'!$C$8,MIN(Inversiones!$F$30:$F$149))),MONTH(IF(COUNT(Inversiones!$F$30:$F$149)=0,'Configuración'!$C$8,MIN(Inversiones!$F$30:$F$149))),1),3)&gt;EOMONTH('Configuración'!$C$8,0),"",IF(Inversiones!$D$4="Todos",IF(SUMIFS('Cálculos'!$K$278:$K$334,'Cálculos'!$B$278:$B$334,EDATE(DATE(YEAR(IF(COUNT(Inversiones!$F$30:$F$149)=0,'Configuración'!$C$8,MIN(Inversiones!$F$30:$F$149))),MONTH(IF(COUNT(Inversiones!$F$30:$F$149)=0,'Configuración'!$C$8,MIN(Inversiones!$F$30:$F$149))),1),3))=COUNTA(Inversiones!$B$30:$B$149),SUMIFS('Cálculos'!$J$278:$J$334,'Cálculos'!$B$278:$B$334,EDATE(DATE(YEAR(IF(COUNT(Inversiones!$F$30:$F$149)=0,'Configuración'!$C$8,MIN(Inversiones!$F$30:$F$149))),MONTH(IF(COUNT(Inversiones!$F$30:$F$149)=0,'Configuración'!$C$8,MIN(Inversiones!$F$30:$F$149))),1),3)),""),IF(SUMIFS('Cálculos'!$K$278:$K$334,'Cálculos'!$B$278:$B$334,EDATE(DATE(YEAR(IF(COUNT(Inversiones!$F$30:$F$149)=0,'Configuración'!$C$8,MIN(Inversiones!$F$30:$F$149))),MONTH(IF(COUNT(Inversiones!$F$30:$F$149)=0,'Configuración'!$C$8,MIN(Inversiones!$F$30:$F$149))),1),3),'Cálculos'!$C$278:$C$334,'Cálculos'!$I$4)=1,SUMIFS('Cálculos'!$J$278:$J$334,'Cálculos'!$B$278:$B$334,EDATE(DATE(YEAR(IF(COUNT(Inversiones!$F$30:$F$149)=0,'Configuración'!$C$8,MIN(Inversiones!$F$30:$F$149))),MONTH(IF(COUNT(Inversiones!$F$30:$F$149)=0,'Configuración'!$C$8,MIN(Inversiones!$F$30:$F$149))),1),3),'Cálculos'!$C$278:$C$334,'Cálculos'!$I$4),"")))</f>
        <v/>
      </c>
      <c r="E931" s="76" t="str">
        <f t="shared" si="2"/>
        <v/>
      </c>
      <c r="F931" s="1"/>
      <c r="G931" s="1"/>
      <c r="H931" s="1"/>
      <c r="I931" s="1"/>
      <c r="J931" s="1"/>
      <c r="K931" s="1"/>
      <c r="L931" s="1"/>
      <c r="M931" s="1"/>
      <c r="N931" s="1"/>
    </row>
    <row r="932" ht="24.75" customHeight="1">
      <c r="A932" s="1"/>
      <c r="B932" s="73" t="str">
        <f>IF(EDATE(DATE(YEAR(IF(COUNT(Inversiones!$F$30:$F$149)=0,'Configuración'!$C$8,MIN(Inversiones!$F$30:$F$149))),MONTH(IF(COUNT(Inversiones!$F$30:$F$149)=0,'Configuración'!$C$8,MIN(Inversiones!$F$30:$F$149))),1),4)&gt;EOMONTH('Configuración'!$C$8,0),"",TEXT(EDATE(DATE(YEAR(IF(COUNT(Inversiones!$F$30:$F$149)=0,'Configuración'!$C$8,MIN(Inversiones!$F$30:$F$149))),MONTH(IF(COUNT(Inversiones!$F$30:$F$149)=0,'Configuración'!$C$8,MIN(Inversiones!$F$30:$F$149))),1),4),"mmm yyyy"))</f>
        <v/>
      </c>
      <c r="C932" s="74" t="str">
        <f>IF(EDATE(DATE(YEAR(IF(COUNT(Inversiones!$F$30:$F$149)=0,'Configuración'!$C$8,MIN(Inversiones!$F$30:$F$149))),MONTH(IF(COUNT(Inversiones!$F$30:$F$149)=0,'Configuración'!$C$8,MIN(Inversiones!$F$30:$F$149))),1),4)&gt;EOMONTH('Configuración'!$C$8,0),"",IF(Inversiones!$D$4="Todos",IF(SUMIFS('Cálculos'!$E$278:$E$334,'Cálculos'!$B$278:$B$334,EDATE(DATE(YEAR(IF(COUNT(Inversiones!$F$30:$F$149)=0,'Configuración'!$C$8,MIN(Inversiones!$F$30:$F$149))),MONTH(IF(COUNT(Inversiones!$F$30:$F$149)=0,'Configuración'!$C$8,MIN(Inversiones!$F$30:$F$149))),1),4))=COUNTA(Inversiones!$B$30:$B$149),SUMIFS('Cálculos'!$G$278:$G$334,'Cálculos'!$B$278:$B$334,EDATE(DATE(YEAR(IF(COUNT(Inversiones!$F$30:$F$149)=0,'Configuración'!$C$8,MIN(Inversiones!$F$30:$F$149))),MONTH(IF(COUNT(Inversiones!$F$30:$F$149)=0,'Configuración'!$C$8,MIN(Inversiones!$F$30:$F$149))),1),4)),""),IF(SUMIFS('Cálculos'!$E$278:$E$334,'Cálculos'!$B$278:$B$334,EDATE(DATE(YEAR(IF(COUNT(Inversiones!$F$30:$F$149)=0,'Configuración'!$C$8,MIN(Inversiones!$F$30:$F$149))),MONTH(IF(COUNT(Inversiones!$F$30:$F$149)=0,'Configuración'!$C$8,MIN(Inversiones!$F$30:$F$149))),1),4),'Cálculos'!$C$278:$C$334,'Cálculos'!$I$4)=1,SUMIFS('Cálculos'!$G$278:$G$334,'Cálculos'!$B$278:$B$334,EDATE(DATE(YEAR(IF(COUNT(Inversiones!$F$30:$F$149)=0,'Configuración'!$C$8,MIN(Inversiones!$F$30:$F$149))),MONTH(IF(COUNT(Inversiones!$F$30:$F$149)=0,'Configuración'!$C$8,MIN(Inversiones!$F$30:$F$149))),1),4),'Cálculos'!$C$278:$C$334,'Cálculos'!$I$4),"")))</f>
        <v/>
      </c>
      <c r="D932" s="74" t="str">
        <f>IF(EDATE(DATE(YEAR(IF(COUNT(Inversiones!$F$30:$F$149)=0,'Configuración'!$C$8,MIN(Inversiones!$F$30:$F$149))),MONTH(IF(COUNT(Inversiones!$F$30:$F$149)=0,'Configuración'!$C$8,MIN(Inversiones!$F$30:$F$149))),1),4)&gt;EOMONTH('Configuración'!$C$8,0),"",IF(Inversiones!$D$4="Todos",IF(SUMIFS('Cálculos'!$K$278:$K$334,'Cálculos'!$B$278:$B$334,EDATE(DATE(YEAR(IF(COUNT(Inversiones!$F$30:$F$149)=0,'Configuración'!$C$8,MIN(Inversiones!$F$30:$F$149))),MONTH(IF(COUNT(Inversiones!$F$30:$F$149)=0,'Configuración'!$C$8,MIN(Inversiones!$F$30:$F$149))),1),4))=COUNTA(Inversiones!$B$30:$B$149),SUMIFS('Cálculos'!$J$278:$J$334,'Cálculos'!$B$278:$B$334,EDATE(DATE(YEAR(IF(COUNT(Inversiones!$F$30:$F$149)=0,'Configuración'!$C$8,MIN(Inversiones!$F$30:$F$149))),MONTH(IF(COUNT(Inversiones!$F$30:$F$149)=0,'Configuración'!$C$8,MIN(Inversiones!$F$30:$F$149))),1),4)),""),IF(SUMIFS('Cálculos'!$K$278:$K$334,'Cálculos'!$B$278:$B$334,EDATE(DATE(YEAR(IF(COUNT(Inversiones!$F$30:$F$149)=0,'Configuración'!$C$8,MIN(Inversiones!$F$30:$F$149))),MONTH(IF(COUNT(Inversiones!$F$30:$F$149)=0,'Configuración'!$C$8,MIN(Inversiones!$F$30:$F$149))),1),4),'Cálculos'!$C$278:$C$334,'Cálculos'!$I$4)=1,SUMIFS('Cálculos'!$J$278:$J$334,'Cálculos'!$B$278:$B$334,EDATE(DATE(YEAR(IF(COUNT(Inversiones!$F$30:$F$149)=0,'Configuración'!$C$8,MIN(Inversiones!$F$30:$F$149))),MONTH(IF(COUNT(Inversiones!$F$30:$F$149)=0,'Configuración'!$C$8,MIN(Inversiones!$F$30:$F$149))),1),4),'Cálculos'!$C$278:$C$334,'Cálculos'!$I$4),"")))</f>
        <v/>
      </c>
      <c r="E932" s="74" t="str">
        <f t="shared" si="2"/>
        <v/>
      </c>
      <c r="F932" s="1"/>
      <c r="G932" s="1"/>
      <c r="H932" s="1"/>
      <c r="I932" s="1"/>
      <c r="J932" s="1"/>
      <c r="K932" s="1"/>
      <c r="L932" s="1"/>
      <c r="M932" s="1"/>
      <c r="N932" s="1"/>
    </row>
    <row r="933" ht="24.75" customHeight="1">
      <c r="A933" s="1"/>
      <c r="B933" s="75" t="str">
        <f>IF(EDATE(DATE(YEAR(IF(COUNT(Inversiones!$F$30:$F$149)=0,'Configuración'!$C$8,MIN(Inversiones!$F$30:$F$149))),MONTH(IF(COUNT(Inversiones!$F$30:$F$149)=0,'Configuración'!$C$8,MIN(Inversiones!$F$30:$F$149))),1),5)&gt;EOMONTH('Configuración'!$C$8,0),"",TEXT(EDATE(DATE(YEAR(IF(COUNT(Inversiones!$F$30:$F$149)=0,'Configuración'!$C$8,MIN(Inversiones!$F$30:$F$149))),MONTH(IF(COUNT(Inversiones!$F$30:$F$149)=0,'Configuración'!$C$8,MIN(Inversiones!$F$30:$F$149))),1),5),"mmm yyyy"))</f>
        <v/>
      </c>
      <c r="C933" s="76" t="str">
        <f>IF(EDATE(DATE(YEAR(IF(COUNT(Inversiones!$F$30:$F$149)=0,'Configuración'!$C$8,MIN(Inversiones!$F$30:$F$149))),MONTH(IF(COUNT(Inversiones!$F$30:$F$149)=0,'Configuración'!$C$8,MIN(Inversiones!$F$30:$F$149))),1),5)&gt;EOMONTH('Configuración'!$C$8,0),"",IF(Inversiones!$D$4="Todos",IF(SUMIFS('Cálculos'!$E$278:$E$334,'Cálculos'!$B$278:$B$334,EDATE(DATE(YEAR(IF(COUNT(Inversiones!$F$30:$F$149)=0,'Configuración'!$C$8,MIN(Inversiones!$F$30:$F$149))),MONTH(IF(COUNT(Inversiones!$F$30:$F$149)=0,'Configuración'!$C$8,MIN(Inversiones!$F$30:$F$149))),1),5))=COUNTA(Inversiones!$B$30:$B$149),SUMIFS('Cálculos'!$G$278:$G$334,'Cálculos'!$B$278:$B$334,EDATE(DATE(YEAR(IF(COUNT(Inversiones!$F$30:$F$149)=0,'Configuración'!$C$8,MIN(Inversiones!$F$30:$F$149))),MONTH(IF(COUNT(Inversiones!$F$30:$F$149)=0,'Configuración'!$C$8,MIN(Inversiones!$F$30:$F$149))),1),5)),""),IF(SUMIFS('Cálculos'!$E$278:$E$334,'Cálculos'!$B$278:$B$334,EDATE(DATE(YEAR(IF(COUNT(Inversiones!$F$30:$F$149)=0,'Configuración'!$C$8,MIN(Inversiones!$F$30:$F$149))),MONTH(IF(COUNT(Inversiones!$F$30:$F$149)=0,'Configuración'!$C$8,MIN(Inversiones!$F$30:$F$149))),1),5),'Cálculos'!$C$278:$C$334,'Cálculos'!$I$4)=1,SUMIFS('Cálculos'!$G$278:$G$334,'Cálculos'!$B$278:$B$334,EDATE(DATE(YEAR(IF(COUNT(Inversiones!$F$30:$F$149)=0,'Configuración'!$C$8,MIN(Inversiones!$F$30:$F$149))),MONTH(IF(COUNT(Inversiones!$F$30:$F$149)=0,'Configuración'!$C$8,MIN(Inversiones!$F$30:$F$149))),1),5),'Cálculos'!$C$278:$C$334,'Cálculos'!$I$4),"")))</f>
        <v/>
      </c>
      <c r="D933" s="76" t="str">
        <f>IF(EDATE(DATE(YEAR(IF(COUNT(Inversiones!$F$30:$F$149)=0,'Configuración'!$C$8,MIN(Inversiones!$F$30:$F$149))),MONTH(IF(COUNT(Inversiones!$F$30:$F$149)=0,'Configuración'!$C$8,MIN(Inversiones!$F$30:$F$149))),1),5)&gt;EOMONTH('Configuración'!$C$8,0),"",IF(Inversiones!$D$4="Todos",IF(SUMIFS('Cálculos'!$K$278:$K$334,'Cálculos'!$B$278:$B$334,EDATE(DATE(YEAR(IF(COUNT(Inversiones!$F$30:$F$149)=0,'Configuración'!$C$8,MIN(Inversiones!$F$30:$F$149))),MONTH(IF(COUNT(Inversiones!$F$30:$F$149)=0,'Configuración'!$C$8,MIN(Inversiones!$F$30:$F$149))),1),5))=COUNTA(Inversiones!$B$30:$B$149),SUMIFS('Cálculos'!$J$278:$J$334,'Cálculos'!$B$278:$B$334,EDATE(DATE(YEAR(IF(COUNT(Inversiones!$F$30:$F$149)=0,'Configuración'!$C$8,MIN(Inversiones!$F$30:$F$149))),MONTH(IF(COUNT(Inversiones!$F$30:$F$149)=0,'Configuración'!$C$8,MIN(Inversiones!$F$30:$F$149))),1),5)),""),IF(SUMIFS('Cálculos'!$K$278:$K$334,'Cálculos'!$B$278:$B$334,EDATE(DATE(YEAR(IF(COUNT(Inversiones!$F$30:$F$149)=0,'Configuración'!$C$8,MIN(Inversiones!$F$30:$F$149))),MONTH(IF(COUNT(Inversiones!$F$30:$F$149)=0,'Configuración'!$C$8,MIN(Inversiones!$F$30:$F$149))),1),5),'Cálculos'!$C$278:$C$334,'Cálculos'!$I$4)=1,SUMIFS('Cálculos'!$J$278:$J$334,'Cálculos'!$B$278:$B$334,EDATE(DATE(YEAR(IF(COUNT(Inversiones!$F$30:$F$149)=0,'Configuración'!$C$8,MIN(Inversiones!$F$30:$F$149))),MONTH(IF(COUNT(Inversiones!$F$30:$F$149)=0,'Configuración'!$C$8,MIN(Inversiones!$F$30:$F$149))),1),5),'Cálculos'!$C$278:$C$334,'Cálculos'!$I$4),"")))</f>
        <v/>
      </c>
      <c r="E933" s="76" t="str">
        <f t="shared" si="2"/>
        <v/>
      </c>
      <c r="F933" s="1"/>
      <c r="G933" s="1"/>
      <c r="H933" s="1"/>
      <c r="I933" s="1"/>
      <c r="J933" s="1"/>
      <c r="K933" s="1"/>
      <c r="L933" s="1"/>
      <c r="M933" s="1"/>
      <c r="N933" s="1"/>
    </row>
    <row r="934" ht="24.75" customHeight="1">
      <c r="A934" s="1"/>
      <c r="B934" s="73" t="str">
        <f>IF(EDATE(DATE(YEAR(IF(COUNT(Inversiones!$F$30:$F$149)=0,'Configuración'!$C$8,MIN(Inversiones!$F$30:$F$149))),MONTH(IF(COUNT(Inversiones!$F$30:$F$149)=0,'Configuración'!$C$8,MIN(Inversiones!$F$30:$F$149))),1),6)&gt;EOMONTH('Configuración'!$C$8,0),"",TEXT(EDATE(DATE(YEAR(IF(COUNT(Inversiones!$F$30:$F$149)=0,'Configuración'!$C$8,MIN(Inversiones!$F$30:$F$149))),MONTH(IF(COUNT(Inversiones!$F$30:$F$149)=0,'Configuración'!$C$8,MIN(Inversiones!$F$30:$F$149))),1),6),"mmm yyyy"))</f>
        <v/>
      </c>
      <c r="C934" s="74" t="str">
        <f>IF(EDATE(DATE(YEAR(IF(COUNT(Inversiones!$F$30:$F$149)=0,'Configuración'!$C$8,MIN(Inversiones!$F$30:$F$149))),MONTH(IF(COUNT(Inversiones!$F$30:$F$149)=0,'Configuración'!$C$8,MIN(Inversiones!$F$30:$F$149))),1),6)&gt;EOMONTH('Configuración'!$C$8,0),"",IF(Inversiones!$D$4="Todos",IF(SUMIFS('Cálculos'!$E$278:$E$334,'Cálculos'!$B$278:$B$334,EDATE(DATE(YEAR(IF(COUNT(Inversiones!$F$30:$F$149)=0,'Configuración'!$C$8,MIN(Inversiones!$F$30:$F$149))),MONTH(IF(COUNT(Inversiones!$F$30:$F$149)=0,'Configuración'!$C$8,MIN(Inversiones!$F$30:$F$149))),1),6))=COUNTA(Inversiones!$B$30:$B$149),SUMIFS('Cálculos'!$G$278:$G$334,'Cálculos'!$B$278:$B$334,EDATE(DATE(YEAR(IF(COUNT(Inversiones!$F$30:$F$149)=0,'Configuración'!$C$8,MIN(Inversiones!$F$30:$F$149))),MONTH(IF(COUNT(Inversiones!$F$30:$F$149)=0,'Configuración'!$C$8,MIN(Inversiones!$F$30:$F$149))),1),6)),""),IF(SUMIFS('Cálculos'!$E$278:$E$334,'Cálculos'!$B$278:$B$334,EDATE(DATE(YEAR(IF(COUNT(Inversiones!$F$30:$F$149)=0,'Configuración'!$C$8,MIN(Inversiones!$F$30:$F$149))),MONTH(IF(COUNT(Inversiones!$F$30:$F$149)=0,'Configuración'!$C$8,MIN(Inversiones!$F$30:$F$149))),1),6),'Cálculos'!$C$278:$C$334,'Cálculos'!$I$4)=1,SUMIFS('Cálculos'!$G$278:$G$334,'Cálculos'!$B$278:$B$334,EDATE(DATE(YEAR(IF(COUNT(Inversiones!$F$30:$F$149)=0,'Configuración'!$C$8,MIN(Inversiones!$F$30:$F$149))),MONTH(IF(COUNT(Inversiones!$F$30:$F$149)=0,'Configuración'!$C$8,MIN(Inversiones!$F$30:$F$149))),1),6),'Cálculos'!$C$278:$C$334,'Cálculos'!$I$4),"")))</f>
        <v/>
      </c>
      <c r="D934" s="74" t="str">
        <f>IF(EDATE(DATE(YEAR(IF(COUNT(Inversiones!$F$30:$F$149)=0,'Configuración'!$C$8,MIN(Inversiones!$F$30:$F$149))),MONTH(IF(COUNT(Inversiones!$F$30:$F$149)=0,'Configuración'!$C$8,MIN(Inversiones!$F$30:$F$149))),1),6)&gt;EOMONTH('Configuración'!$C$8,0),"",IF(Inversiones!$D$4="Todos",IF(SUMIFS('Cálculos'!$K$278:$K$334,'Cálculos'!$B$278:$B$334,EDATE(DATE(YEAR(IF(COUNT(Inversiones!$F$30:$F$149)=0,'Configuración'!$C$8,MIN(Inversiones!$F$30:$F$149))),MONTH(IF(COUNT(Inversiones!$F$30:$F$149)=0,'Configuración'!$C$8,MIN(Inversiones!$F$30:$F$149))),1),6))=COUNTA(Inversiones!$B$30:$B$149),SUMIFS('Cálculos'!$J$278:$J$334,'Cálculos'!$B$278:$B$334,EDATE(DATE(YEAR(IF(COUNT(Inversiones!$F$30:$F$149)=0,'Configuración'!$C$8,MIN(Inversiones!$F$30:$F$149))),MONTH(IF(COUNT(Inversiones!$F$30:$F$149)=0,'Configuración'!$C$8,MIN(Inversiones!$F$30:$F$149))),1),6)),""),IF(SUMIFS('Cálculos'!$K$278:$K$334,'Cálculos'!$B$278:$B$334,EDATE(DATE(YEAR(IF(COUNT(Inversiones!$F$30:$F$149)=0,'Configuración'!$C$8,MIN(Inversiones!$F$30:$F$149))),MONTH(IF(COUNT(Inversiones!$F$30:$F$149)=0,'Configuración'!$C$8,MIN(Inversiones!$F$30:$F$149))),1),6),'Cálculos'!$C$278:$C$334,'Cálculos'!$I$4)=1,SUMIFS('Cálculos'!$J$278:$J$334,'Cálculos'!$B$278:$B$334,EDATE(DATE(YEAR(IF(COUNT(Inversiones!$F$30:$F$149)=0,'Configuración'!$C$8,MIN(Inversiones!$F$30:$F$149))),MONTH(IF(COUNT(Inversiones!$F$30:$F$149)=0,'Configuración'!$C$8,MIN(Inversiones!$F$30:$F$149))),1),6),'Cálculos'!$C$278:$C$334,'Cálculos'!$I$4),"")))</f>
        <v/>
      </c>
      <c r="E934" s="74" t="str">
        <f t="shared" si="2"/>
        <v/>
      </c>
      <c r="F934" s="1"/>
      <c r="G934" s="1"/>
      <c r="H934" s="1"/>
      <c r="I934" s="1"/>
      <c r="J934" s="1"/>
      <c r="K934" s="1"/>
      <c r="L934" s="1"/>
      <c r="M934" s="1"/>
      <c r="N934" s="1"/>
    </row>
    <row r="935" ht="24.75" customHeight="1">
      <c r="A935" s="1"/>
      <c r="B935" s="75" t="str">
        <f>IF(EDATE(DATE(YEAR(IF(COUNT(Inversiones!$F$30:$F$149)=0,'Configuración'!$C$8,MIN(Inversiones!$F$30:$F$149))),MONTH(IF(COUNT(Inversiones!$F$30:$F$149)=0,'Configuración'!$C$8,MIN(Inversiones!$F$30:$F$149))),1),7)&gt;EOMONTH('Configuración'!$C$8,0),"",TEXT(EDATE(DATE(YEAR(IF(COUNT(Inversiones!$F$30:$F$149)=0,'Configuración'!$C$8,MIN(Inversiones!$F$30:$F$149))),MONTH(IF(COUNT(Inversiones!$F$30:$F$149)=0,'Configuración'!$C$8,MIN(Inversiones!$F$30:$F$149))),1),7),"mmm yyyy"))</f>
        <v/>
      </c>
      <c r="C935" s="76" t="str">
        <f>IF(EDATE(DATE(YEAR(IF(COUNT(Inversiones!$F$30:$F$149)=0,'Configuración'!$C$8,MIN(Inversiones!$F$30:$F$149))),MONTH(IF(COUNT(Inversiones!$F$30:$F$149)=0,'Configuración'!$C$8,MIN(Inversiones!$F$30:$F$149))),1),7)&gt;EOMONTH('Configuración'!$C$8,0),"",IF(Inversiones!$D$4="Todos",IF(SUMIFS('Cálculos'!$E$278:$E$334,'Cálculos'!$B$278:$B$334,EDATE(DATE(YEAR(IF(COUNT(Inversiones!$F$30:$F$149)=0,'Configuración'!$C$8,MIN(Inversiones!$F$30:$F$149))),MONTH(IF(COUNT(Inversiones!$F$30:$F$149)=0,'Configuración'!$C$8,MIN(Inversiones!$F$30:$F$149))),1),7))=COUNTA(Inversiones!$B$30:$B$149),SUMIFS('Cálculos'!$G$278:$G$334,'Cálculos'!$B$278:$B$334,EDATE(DATE(YEAR(IF(COUNT(Inversiones!$F$30:$F$149)=0,'Configuración'!$C$8,MIN(Inversiones!$F$30:$F$149))),MONTH(IF(COUNT(Inversiones!$F$30:$F$149)=0,'Configuración'!$C$8,MIN(Inversiones!$F$30:$F$149))),1),7)),""),IF(SUMIFS('Cálculos'!$E$278:$E$334,'Cálculos'!$B$278:$B$334,EDATE(DATE(YEAR(IF(COUNT(Inversiones!$F$30:$F$149)=0,'Configuración'!$C$8,MIN(Inversiones!$F$30:$F$149))),MONTH(IF(COUNT(Inversiones!$F$30:$F$149)=0,'Configuración'!$C$8,MIN(Inversiones!$F$30:$F$149))),1),7),'Cálculos'!$C$278:$C$334,'Cálculos'!$I$4)=1,SUMIFS('Cálculos'!$G$278:$G$334,'Cálculos'!$B$278:$B$334,EDATE(DATE(YEAR(IF(COUNT(Inversiones!$F$30:$F$149)=0,'Configuración'!$C$8,MIN(Inversiones!$F$30:$F$149))),MONTH(IF(COUNT(Inversiones!$F$30:$F$149)=0,'Configuración'!$C$8,MIN(Inversiones!$F$30:$F$149))),1),7),'Cálculos'!$C$278:$C$334,'Cálculos'!$I$4),"")))</f>
        <v/>
      </c>
      <c r="D935" s="76" t="str">
        <f>IF(EDATE(DATE(YEAR(IF(COUNT(Inversiones!$F$30:$F$149)=0,'Configuración'!$C$8,MIN(Inversiones!$F$30:$F$149))),MONTH(IF(COUNT(Inversiones!$F$30:$F$149)=0,'Configuración'!$C$8,MIN(Inversiones!$F$30:$F$149))),1),7)&gt;EOMONTH('Configuración'!$C$8,0),"",IF(Inversiones!$D$4="Todos",IF(SUMIFS('Cálculos'!$K$278:$K$334,'Cálculos'!$B$278:$B$334,EDATE(DATE(YEAR(IF(COUNT(Inversiones!$F$30:$F$149)=0,'Configuración'!$C$8,MIN(Inversiones!$F$30:$F$149))),MONTH(IF(COUNT(Inversiones!$F$30:$F$149)=0,'Configuración'!$C$8,MIN(Inversiones!$F$30:$F$149))),1),7))=COUNTA(Inversiones!$B$30:$B$149),SUMIFS('Cálculos'!$J$278:$J$334,'Cálculos'!$B$278:$B$334,EDATE(DATE(YEAR(IF(COUNT(Inversiones!$F$30:$F$149)=0,'Configuración'!$C$8,MIN(Inversiones!$F$30:$F$149))),MONTH(IF(COUNT(Inversiones!$F$30:$F$149)=0,'Configuración'!$C$8,MIN(Inversiones!$F$30:$F$149))),1),7)),""),IF(SUMIFS('Cálculos'!$K$278:$K$334,'Cálculos'!$B$278:$B$334,EDATE(DATE(YEAR(IF(COUNT(Inversiones!$F$30:$F$149)=0,'Configuración'!$C$8,MIN(Inversiones!$F$30:$F$149))),MONTH(IF(COUNT(Inversiones!$F$30:$F$149)=0,'Configuración'!$C$8,MIN(Inversiones!$F$30:$F$149))),1),7),'Cálculos'!$C$278:$C$334,'Cálculos'!$I$4)=1,SUMIFS('Cálculos'!$J$278:$J$334,'Cálculos'!$B$278:$B$334,EDATE(DATE(YEAR(IF(COUNT(Inversiones!$F$30:$F$149)=0,'Configuración'!$C$8,MIN(Inversiones!$F$30:$F$149))),MONTH(IF(COUNT(Inversiones!$F$30:$F$149)=0,'Configuración'!$C$8,MIN(Inversiones!$F$30:$F$149))),1),7),'Cálculos'!$C$278:$C$334,'Cálculos'!$I$4),"")))</f>
        <v/>
      </c>
      <c r="E935" s="76" t="str">
        <f t="shared" si="2"/>
        <v/>
      </c>
      <c r="F935" s="1"/>
      <c r="G935" s="1"/>
      <c r="H935" s="1"/>
      <c r="I935" s="1"/>
      <c r="J935" s="1"/>
      <c r="K935" s="1"/>
      <c r="L935" s="1"/>
      <c r="M935" s="1"/>
      <c r="N935" s="1"/>
    </row>
    <row r="936" ht="24.75" customHeight="1">
      <c r="A936" s="1"/>
      <c r="B936" s="73" t="str">
        <f>IF(EDATE(DATE(YEAR(IF(COUNT(Inversiones!$F$30:$F$149)=0,'Configuración'!$C$8,MIN(Inversiones!$F$30:$F$149))),MONTH(IF(COUNT(Inversiones!$F$30:$F$149)=0,'Configuración'!$C$8,MIN(Inversiones!$F$30:$F$149))),1),8)&gt;EOMONTH('Configuración'!$C$8,0),"",TEXT(EDATE(DATE(YEAR(IF(COUNT(Inversiones!$F$30:$F$149)=0,'Configuración'!$C$8,MIN(Inversiones!$F$30:$F$149))),MONTH(IF(COUNT(Inversiones!$F$30:$F$149)=0,'Configuración'!$C$8,MIN(Inversiones!$F$30:$F$149))),1),8),"mmm yyyy"))</f>
        <v/>
      </c>
      <c r="C936" s="74" t="str">
        <f>IF(EDATE(DATE(YEAR(IF(COUNT(Inversiones!$F$30:$F$149)=0,'Configuración'!$C$8,MIN(Inversiones!$F$30:$F$149))),MONTH(IF(COUNT(Inversiones!$F$30:$F$149)=0,'Configuración'!$C$8,MIN(Inversiones!$F$30:$F$149))),1),8)&gt;EOMONTH('Configuración'!$C$8,0),"",IF(Inversiones!$D$4="Todos",IF(SUMIFS('Cálculos'!$E$278:$E$334,'Cálculos'!$B$278:$B$334,EDATE(DATE(YEAR(IF(COUNT(Inversiones!$F$30:$F$149)=0,'Configuración'!$C$8,MIN(Inversiones!$F$30:$F$149))),MONTH(IF(COUNT(Inversiones!$F$30:$F$149)=0,'Configuración'!$C$8,MIN(Inversiones!$F$30:$F$149))),1),8))=COUNTA(Inversiones!$B$30:$B$149),SUMIFS('Cálculos'!$G$278:$G$334,'Cálculos'!$B$278:$B$334,EDATE(DATE(YEAR(IF(COUNT(Inversiones!$F$30:$F$149)=0,'Configuración'!$C$8,MIN(Inversiones!$F$30:$F$149))),MONTH(IF(COUNT(Inversiones!$F$30:$F$149)=0,'Configuración'!$C$8,MIN(Inversiones!$F$30:$F$149))),1),8)),""),IF(SUMIFS('Cálculos'!$E$278:$E$334,'Cálculos'!$B$278:$B$334,EDATE(DATE(YEAR(IF(COUNT(Inversiones!$F$30:$F$149)=0,'Configuración'!$C$8,MIN(Inversiones!$F$30:$F$149))),MONTH(IF(COUNT(Inversiones!$F$30:$F$149)=0,'Configuración'!$C$8,MIN(Inversiones!$F$30:$F$149))),1),8),'Cálculos'!$C$278:$C$334,'Cálculos'!$I$4)=1,SUMIFS('Cálculos'!$G$278:$G$334,'Cálculos'!$B$278:$B$334,EDATE(DATE(YEAR(IF(COUNT(Inversiones!$F$30:$F$149)=0,'Configuración'!$C$8,MIN(Inversiones!$F$30:$F$149))),MONTH(IF(COUNT(Inversiones!$F$30:$F$149)=0,'Configuración'!$C$8,MIN(Inversiones!$F$30:$F$149))),1),8),'Cálculos'!$C$278:$C$334,'Cálculos'!$I$4),"")))</f>
        <v/>
      </c>
      <c r="D936" s="74" t="str">
        <f>IF(EDATE(DATE(YEAR(IF(COUNT(Inversiones!$F$30:$F$149)=0,'Configuración'!$C$8,MIN(Inversiones!$F$30:$F$149))),MONTH(IF(COUNT(Inversiones!$F$30:$F$149)=0,'Configuración'!$C$8,MIN(Inversiones!$F$30:$F$149))),1),8)&gt;EOMONTH('Configuración'!$C$8,0),"",IF(Inversiones!$D$4="Todos",IF(SUMIFS('Cálculos'!$K$278:$K$334,'Cálculos'!$B$278:$B$334,EDATE(DATE(YEAR(IF(COUNT(Inversiones!$F$30:$F$149)=0,'Configuración'!$C$8,MIN(Inversiones!$F$30:$F$149))),MONTH(IF(COUNT(Inversiones!$F$30:$F$149)=0,'Configuración'!$C$8,MIN(Inversiones!$F$30:$F$149))),1),8))=COUNTA(Inversiones!$B$30:$B$149),SUMIFS('Cálculos'!$J$278:$J$334,'Cálculos'!$B$278:$B$334,EDATE(DATE(YEAR(IF(COUNT(Inversiones!$F$30:$F$149)=0,'Configuración'!$C$8,MIN(Inversiones!$F$30:$F$149))),MONTH(IF(COUNT(Inversiones!$F$30:$F$149)=0,'Configuración'!$C$8,MIN(Inversiones!$F$30:$F$149))),1),8)),""),IF(SUMIFS('Cálculos'!$K$278:$K$334,'Cálculos'!$B$278:$B$334,EDATE(DATE(YEAR(IF(COUNT(Inversiones!$F$30:$F$149)=0,'Configuración'!$C$8,MIN(Inversiones!$F$30:$F$149))),MONTH(IF(COUNT(Inversiones!$F$30:$F$149)=0,'Configuración'!$C$8,MIN(Inversiones!$F$30:$F$149))),1),8),'Cálculos'!$C$278:$C$334,'Cálculos'!$I$4)=1,SUMIFS('Cálculos'!$J$278:$J$334,'Cálculos'!$B$278:$B$334,EDATE(DATE(YEAR(IF(COUNT(Inversiones!$F$30:$F$149)=0,'Configuración'!$C$8,MIN(Inversiones!$F$30:$F$149))),MONTH(IF(COUNT(Inversiones!$F$30:$F$149)=0,'Configuración'!$C$8,MIN(Inversiones!$F$30:$F$149))),1),8),'Cálculos'!$C$278:$C$334,'Cálculos'!$I$4),"")))</f>
        <v/>
      </c>
      <c r="E936" s="74" t="str">
        <f t="shared" si="2"/>
        <v/>
      </c>
      <c r="F936" s="1"/>
      <c r="G936" s="1"/>
      <c r="H936" s="1"/>
      <c r="I936" s="1"/>
      <c r="J936" s="1"/>
      <c r="K936" s="1"/>
      <c r="L936" s="1"/>
      <c r="M936" s="1"/>
      <c r="N936" s="1"/>
    </row>
    <row r="937" ht="24.75" customHeight="1">
      <c r="A937" s="1"/>
      <c r="B937" s="75" t="str">
        <f>IF(EDATE(DATE(YEAR(IF(COUNT(Inversiones!$F$30:$F$149)=0,'Configuración'!$C$8,MIN(Inversiones!$F$30:$F$149))),MONTH(IF(COUNT(Inversiones!$F$30:$F$149)=0,'Configuración'!$C$8,MIN(Inversiones!$F$30:$F$149))),1),9)&gt;EOMONTH('Configuración'!$C$8,0),"",TEXT(EDATE(DATE(YEAR(IF(COUNT(Inversiones!$F$30:$F$149)=0,'Configuración'!$C$8,MIN(Inversiones!$F$30:$F$149))),MONTH(IF(COUNT(Inversiones!$F$30:$F$149)=0,'Configuración'!$C$8,MIN(Inversiones!$F$30:$F$149))),1),9),"mmm yyyy"))</f>
        <v/>
      </c>
      <c r="C937" s="76" t="str">
        <f>IF(EDATE(DATE(YEAR(IF(COUNT(Inversiones!$F$30:$F$149)=0,'Configuración'!$C$8,MIN(Inversiones!$F$30:$F$149))),MONTH(IF(COUNT(Inversiones!$F$30:$F$149)=0,'Configuración'!$C$8,MIN(Inversiones!$F$30:$F$149))),1),9)&gt;EOMONTH('Configuración'!$C$8,0),"",IF(Inversiones!$D$4="Todos",IF(SUMIFS('Cálculos'!$E$278:$E$334,'Cálculos'!$B$278:$B$334,EDATE(DATE(YEAR(IF(COUNT(Inversiones!$F$30:$F$149)=0,'Configuración'!$C$8,MIN(Inversiones!$F$30:$F$149))),MONTH(IF(COUNT(Inversiones!$F$30:$F$149)=0,'Configuración'!$C$8,MIN(Inversiones!$F$30:$F$149))),1),9))=COUNTA(Inversiones!$B$30:$B$149),SUMIFS('Cálculos'!$G$278:$G$334,'Cálculos'!$B$278:$B$334,EDATE(DATE(YEAR(IF(COUNT(Inversiones!$F$30:$F$149)=0,'Configuración'!$C$8,MIN(Inversiones!$F$30:$F$149))),MONTH(IF(COUNT(Inversiones!$F$30:$F$149)=0,'Configuración'!$C$8,MIN(Inversiones!$F$30:$F$149))),1),9)),""),IF(SUMIFS('Cálculos'!$E$278:$E$334,'Cálculos'!$B$278:$B$334,EDATE(DATE(YEAR(IF(COUNT(Inversiones!$F$30:$F$149)=0,'Configuración'!$C$8,MIN(Inversiones!$F$30:$F$149))),MONTH(IF(COUNT(Inversiones!$F$30:$F$149)=0,'Configuración'!$C$8,MIN(Inversiones!$F$30:$F$149))),1),9),'Cálculos'!$C$278:$C$334,'Cálculos'!$I$4)=1,SUMIFS('Cálculos'!$G$278:$G$334,'Cálculos'!$B$278:$B$334,EDATE(DATE(YEAR(IF(COUNT(Inversiones!$F$30:$F$149)=0,'Configuración'!$C$8,MIN(Inversiones!$F$30:$F$149))),MONTH(IF(COUNT(Inversiones!$F$30:$F$149)=0,'Configuración'!$C$8,MIN(Inversiones!$F$30:$F$149))),1),9),'Cálculos'!$C$278:$C$334,'Cálculos'!$I$4),"")))</f>
        <v/>
      </c>
      <c r="D937" s="76" t="str">
        <f>IF(EDATE(DATE(YEAR(IF(COUNT(Inversiones!$F$30:$F$149)=0,'Configuración'!$C$8,MIN(Inversiones!$F$30:$F$149))),MONTH(IF(COUNT(Inversiones!$F$30:$F$149)=0,'Configuración'!$C$8,MIN(Inversiones!$F$30:$F$149))),1),9)&gt;EOMONTH('Configuración'!$C$8,0),"",IF(Inversiones!$D$4="Todos",IF(SUMIFS('Cálculos'!$K$278:$K$334,'Cálculos'!$B$278:$B$334,EDATE(DATE(YEAR(IF(COUNT(Inversiones!$F$30:$F$149)=0,'Configuración'!$C$8,MIN(Inversiones!$F$30:$F$149))),MONTH(IF(COUNT(Inversiones!$F$30:$F$149)=0,'Configuración'!$C$8,MIN(Inversiones!$F$30:$F$149))),1),9))=COUNTA(Inversiones!$B$30:$B$149),SUMIFS('Cálculos'!$J$278:$J$334,'Cálculos'!$B$278:$B$334,EDATE(DATE(YEAR(IF(COUNT(Inversiones!$F$30:$F$149)=0,'Configuración'!$C$8,MIN(Inversiones!$F$30:$F$149))),MONTH(IF(COUNT(Inversiones!$F$30:$F$149)=0,'Configuración'!$C$8,MIN(Inversiones!$F$30:$F$149))),1),9)),""),IF(SUMIFS('Cálculos'!$K$278:$K$334,'Cálculos'!$B$278:$B$334,EDATE(DATE(YEAR(IF(COUNT(Inversiones!$F$30:$F$149)=0,'Configuración'!$C$8,MIN(Inversiones!$F$30:$F$149))),MONTH(IF(COUNT(Inversiones!$F$30:$F$149)=0,'Configuración'!$C$8,MIN(Inversiones!$F$30:$F$149))),1),9),'Cálculos'!$C$278:$C$334,'Cálculos'!$I$4)=1,SUMIFS('Cálculos'!$J$278:$J$334,'Cálculos'!$B$278:$B$334,EDATE(DATE(YEAR(IF(COUNT(Inversiones!$F$30:$F$149)=0,'Configuración'!$C$8,MIN(Inversiones!$F$30:$F$149))),MONTH(IF(COUNT(Inversiones!$F$30:$F$149)=0,'Configuración'!$C$8,MIN(Inversiones!$F$30:$F$149))),1),9),'Cálculos'!$C$278:$C$334,'Cálculos'!$I$4),"")))</f>
        <v/>
      </c>
      <c r="E937" s="76" t="str">
        <f t="shared" si="2"/>
        <v/>
      </c>
      <c r="F937" s="1"/>
      <c r="G937" s="1"/>
      <c r="H937" s="1"/>
      <c r="I937" s="1"/>
      <c r="J937" s="1"/>
      <c r="K937" s="1"/>
      <c r="L937" s="1"/>
      <c r="M937" s="1"/>
      <c r="N937" s="1"/>
    </row>
    <row r="938" ht="24.75" customHeight="1">
      <c r="A938" s="1"/>
      <c r="B938" s="73" t="str">
        <f>IF(EDATE(DATE(YEAR(IF(COUNT(Inversiones!$F$30:$F$149)=0,'Configuración'!$C$8,MIN(Inversiones!$F$30:$F$149))),MONTH(IF(COUNT(Inversiones!$F$30:$F$149)=0,'Configuración'!$C$8,MIN(Inversiones!$F$30:$F$149))),1),10)&gt;EOMONTH('Configuración'!$C$8,0),"",TEXT(EDATE(DATE(YEAR(IF(COUNT(Inversiones!$F$30:$F$149)=0,'Configuración'!$C$8,MIN(Inversiones!$F$30:$F$149))),MONTH(IF(COUNT(Inversiones!$F$30:$F$149)=0,'Configuración'!$C$8,MIN(Inversiones!$F$30:$F$149))),1),10),"mmm yyyy"))</f>
        <v/>
      </c>
      <c r="C938" s="74" t="str">
        <f>IF(EDATE(DATE(YEAR(IF(COUNT(Inversiones!$F$30:$F$149)=0,'Configuración'!$C$8,MIN(Inversiones!$F$30:$F$149))),MONTH(IF(COUNT(Inversiones!$F$30:$F$149)=0,'Configuración'!$C$8,MIN(Inversiones!$F$30:$F$149))),1),10)&gt;EOMONTH('Configuración'!$C$8,0),"",IF(Inversiones!$D$4="Todos",IF(SUMIFS('Cálculos'!$E$278:$E$334,'Cálculos'!$B$278:$B$334,EDATE(DATE(YEAR(IF(COUNT(Inversiones!$F$30:$F$149)=0,'Configuración'!$C$8,MIN(Inversiones!$F$30:$F$149))),MONTH(IF(COUNT(Inversiones!$F$30:$F$149)=0,'Configuración'!$C$8,MIN(Inversiones!$F$30:$F$149))),1),10))=COUNTA(Inversiones!$B$30:$B$149),SUMIFS('Cálculos'!$G$278:$G$334,'Cálculos'!$B$278:$B$334,EDATE(DATE(YEAR(IF(COUNT(Inversiones!$F$30:$F$149)=0,'Configuración'!$C$8,MIN(Inversiones!$F$30:$F$149))),MONTH(IF(COUNT(Inversiones!$F$30:$F$149)=0,'Configuración'!$C$8,MIN(Inversiones!$F$30:$F$149))),1),10)),""),IF(SUMIFS('Cálculos'!$E$278:$E$334,'Cálculos'!$B$278:$B$334,EDATE(DATE(YEAR(IF(COUNT(Inversiones!$F$30:$F$149)=0,'Configuración'!$C$8,MIN(Inversiones!$F$30:$F$149))),MONTH(IF(COUNT(Inversiones!$F$30:$F$149)=0,'Configuración'!$C$8,MIN(Inversiones!$F$30:$F$149))),1),10),'Cálculos'!$C$278:$C$334,'Cálculos'!$I$4)=1,SUMIFS('Cálculos'!$G$278:$G$334,'Cálculos'!$B$278:$B$334,EDATE(DATE(YEAR(IF(COUNT(Inversiones!$F$30:$F$149)=0,'Configuración'!$C$8,MIN(Inversiones!$F$30:$F$149))),MONTH(IF(COUNT(Inversiones!$F$30:$F$149)=0,'Configuración'!$C$8,MIN(Inversiones!$F$30:$F$149))),1),10),'Cálculos'!$C$278:$C$334,'Cálculos'!$I$4),"")))</f>
        <v/>
      </c>
      <c r="D938" s="74" t="str">
        <f>IF(EDATE(DATE(YEAR(IF(COUNT(Inversiones!$F$30:$F$149)=0,'Configuración'!$C$8,MIN(Inversiones!$F$30:$F$149))),MONTH(IF(COUNT(Inversiones!$F$30:$F$149)=0,'Configuración'!$C$8,MIN(Inversiones!$F$30:$F$149))),1),10)&gt;EOMONTH('Configuración'!$C$8,0),"",IF(Inversiones!$D$4="Todos",IF(SUMIFS('Cálculos'!$K$278:$K$334,'Cálculos'!$B$278:$B$334,EDATE(DATE(YEAR(IF(COUNT(Inversiones!$F$30:$F$149)=0,'Configuración'!$C$8,MIN(Inversiones!$F$30:$F$149))),MONTH(IF(COUNT(Inversiones!$F$30:$F$149)=0,'Configuración'!$C$8,MIN(Inversiones!$F$30:$F$149))),1),10))=COUNTA(Inversiones!$B$30:$B$149),SUMIFS('Cálculos'!$J$278:$J$334,'Cálculos'!$B$278:$B$334,EDATE(DATE(YEAR(IF(COUNT(Inversiones!$F$30:$F$149)=0,'Configuración'!$C$8,MIN(Inversiones!$F$30:$F$149))),MONTH(IF(COUNT(Inversiones!$F$30:$F$149)=0,'Configuración'!$C$8,MIN(Inversiones!$F$30:$F$149))),1),10)),""),IF(SUMIFS('Cálculos'!$K$278:$K$334,'Cálculos'!$B$278:$B$334,EDATE(DATE(YEAR(IF(COUNT(Inversiones!$F$30:$F$149)=0,'Configuración'!$C$8,MIN(Inversiones!$F$30:$F$149))),MONTH(IF(COUNT(Inversiones!$F$30:$F$149)=0,'Configuración'!$C$8,MIN(Inversiones!$F$30:$F$149))),1),10),'Cálculos'!$C$278:$C$334,'Cálculos'!$I$4)=1,SUMIFS('Cálculos'!$J$278:$J$334,'Cálculos'!$B$278:$B$334,EDATE(DATE(YEAR(IF(COUNT(Inversiones!$F$30:$F$149)=0,'Configuración'!$C$8,MIN(Inversiones!$F$30:$F$149))),MONTH(IF(COUNT(Inversiones!$F$30:$F$149)=0,'Configuración'!$C$8,MIN(Inversiones!$F$30:$F$149))),1),10),'Cálculos'!$C$278:$C$334,'Cálculos'!$I$4),"")))</f>
        <v/>
      </c>
      <c r="E938" s="74" t="str">
        <f t="shared" si="2"/>
        <v/>
      </c>
      <c r="F938" s="1"/>
      <c r="G938" s="1"/>
      <c r="H938" s="1"/>
      <c r="I938" s="1"/>
      <c r="J938" s="1"/>
      <c r="K938" s="1"/>
      <c r="L938" s="1"/>
      <c r="M938" s="1"/>
      <c r="N938" s="1"/>
    </row>
    <row r="939" ht="24.75" customHeight="1">
      <c r="A939" s="1"/>
      <c r="B939" s="75" t="str">
        <f>IF(EDATE(DATE(YEAR(IF(COUNT(Inversiones!$F$30:$F$149)=0,'Configuración'!$C$8,MIN(Inversiones!$F$30:$F$149))),MONTH(IF(COUNT(Inversiones!$F$30:$F$149)=0,'Configuración'!$C$8,MIN(Inversiones!$F$30:$F$149))),1),11)&gt;EOMONTH('Configuración'!$C$8,0),"",TEXT(EDATE(DATE(YEAR(IF(COUNT(Inversiones!$F$30:$F$149)=0,'Configuración'!$C$8,MIN(Inversiones!$F$30:$F$149))),MONTH(IF(COUNT(Inversiones!$F$30:$F$149)=0,'Configuración'!$C$8,MIN(Inversiones!$F$30:$F$149))),1),11),"mmm yyyy"))</f>
        <v/>
      </c>
      <c r="C939" s="76" t="str">
        <f>IF(EDATE(DATE(YEAR(IF(COUNT(Inversiones!$F$30:$F$149)=0,'Configuración'!$C$8,MIN(Inversiones!$F$30:$F$149))),MONTH(IF(COUNT(Inversiones!$F$30:$F$149)=0,'Configuración'!$C$8,MIN(Inversiones!$F$30:$F$149))),1),11)&gt;EOMONTH('Configuración'!$C$8,0),"",IF(Inversiones!$D$4="Todos",IF(SUMIFS('Cálculos'!$E$278:$E$334,'Cálculos'!$B$278:$B$334,EDATE(DATE(YEAR(IF(COUNT(Inversiones!$F$30:$F$149)=0,'Configuración'!$C$8,MIN(Inversiones!$F$30:$F$149))),MONTH(IF(COUNT(Inversiones!$F$30:$F$149)=0,'Configuración'!$C$8,MIN(Inversiones!$F$30:$F$149))),1),11))=COUNTA(Inversiones!$B$30:$B$149),SUMIFS('Cálculos'!$G$278:$G$334,'Cálculos'!$B$278:$B$334,EDATE(DATE(YEAR(IF(COUNT(Inversiones!$F$30:$F$149)=0,'Configuración'!$C$8,MIN(Inversiones!$F$30:$F$149))),MONTH(IF(COUNT(Inversiones!$F$30:$F$149)=0,'Configuración'!$C$8,MIN(Inversiones!$F$30:$F$149))),1),11)),""),IF(SUMIFS('Cálculos'!$E$278:$E$334,'Cálculos'!$B$278:$B$334,EDATE(DATE(YEAR(IF(COUNT(Inversiones!$F$30:$F$149)=0,'Configuración'!$C$8,MIN(Inversiones!$F$30:$F$149))),MONTH(IF(COUNT(Inversiones!$F$30:$F$149)=0,'Configuración'!$C$8,MIN(Inversiones!$F$30:$F$149))),1),11),'Cálculos'!$C$278:$C$334,'Cálculos'!$I$4)=1,SUMIFS('Cálculos'!$G$278:$G$334,'Cálculos'!$B$278:$B$334,EDATE(DATE(YEAR(IF(COUNT(Inversiones!$F$30:$F$149)=0,'Configuración'!$C$8,MIN(Inversiones!$F$30:$F$149))),MONTH(IF(COUNT(Inversiones!$F$30:$F$149)=0,'Configuración'!$C$8,MIN(Inversiones!$F$30:$F$149))),1),11),'Cálculos'!$C$278:$C$334,'Cálculos'!$I$4),"")))</f>
        <v/>
      </c>
      <c r="D939" s="76" t="str">
        <f>IF(EDATE(DATE(YEAR(IF(COUNT(Inversiones!$F$30:$F$149)=0,'Configuración'!$C$8,MIN(Inversiones!$F$30:$F$149))),MONTH(IF(COUNT(Inversiones!$F$30:$F$149)=0,'Configuración'!$C$8,MIN(Inversiones!$F$30:$F$149))),1),11)&gt;EOMONTH('Configuración'!$C$8,0),"",IF(Inversiones!$D$4="Todos",IF(SUMIFS('Cálculos'!$K$278:$K$334,'Cálculos'!$B$278:$B$334,EDATE(DATE(YEAR(IF(COUNT(Inversiones!$F$30:$F$149)=0,'Configuración'!$C$8,MIN(Inversiones!$F$30:$F$149))),MONTH(IF(COUNT(Inversiones!$F$30:$F$149)=0,'Configuración'!$C$8,MIN(Inversiones!$F$30:$F$149))),1),11))=COUNTA(Inversiones!$B$30:$B$149),SUMIFS('Cálculos'!$J$278:$J$334,'Cálculos'!$B$278:$B$334,EDATE(DATE(YEAR(IF(COUNT(Inversiones!$F$30:$F$149)=0,'Configuración'!$C$8,MIN(Inversiones!$F$30:$F$149))),MONTH(IF(COUNT(Inversiones!$F$30:$F$149)=0,'Configuración'!$C$8,MIN(Inversiones!$F$30:$F$149))),1),11)),""),IF(SUMIFS('Cálculos'!$K$278:$K$334,'Cálculos'!$B$278:$B$334,EDATE(DATE(YEAR(IF(COUNT(Inversiones!$F$30:$F$149)=0,'Configuración'!$C$8,MIN(Inversiones!$F$30:$F$149))),MONTH(IF(COUNT(Inversiones!$F$30:$F$149)=0,'Configuración'!$C$8,MIN(Inversiones!$F$30:$F$149))),1),11),'Cálculos'!$C$278:$C$334,'Cálculos'!$I$4)=1,SUMIFS('Cálculos'!$J$278:$J$334,'Cálculos'!$B$278:$B$334,EDATE(DATE(YEAR(IF(COUNT(Inversiones!$F$30:$F$149)=0,'Configuración'!$C$8,MIN(Inversiones!$F$30:$F$149))),MONTH(IF(COUNT(Inversiones!$F$30:$F$149)=0,'Configuración'!$C$8,MIN(Inversiones!$F$30:$F$149))),1),11),'Cálculos'!$C$278:$C$334,'Cálculos'!$I$4),"")))</f>
        <v/>
      </c>
      <c r="E939" s="76" t="str">
        <f t="shared" si="2"/>
        <v/>
      </c>
      <c r="F939" s="1"/>
      <c r="G939" s="1"/>
      <c r="H939" s="1"/>
      <c r="I939" s="1"/>
      <c r="J939" s="1"/>
      <c r="K939" s="1"/>
      <c r="L939" s="1"/>
      <c r="M939" s="1"/>
      <c r="N939" s="1"/>
    </row>
    <row r="940" ht="24.75" customHeight="1">
      <c r="A940" s="1"/>
      <c r="B940" s="73" t="str">
        <f>IF(EDATE(DATE(YEAR(IF(COUNT(Inversiones!$F$30:$F$149)=0,'Configuración'!$C$8,MIN(Inversiones!$F$30:$F$149))),MONTH(IF(COUNT(Inversiones!$F$30:$F$149)=0,'Configuración'!$C$8,MIN(Inversiones!$F$30:$F$149))),1),12)&gt;EOMONTH('Configuración'!$C$8,0),"",TEXT(EDATE(DATE(YEAR(IF(COUNT(Inversiones!$F$30:$F$149)=0,'Configuración'!$C$8,MIN(Inversiones!$F$30:$F$149))),MONTH(IF(COUNT(Inversiones!$F$30:$F$149)=0,'Configuración'!$C$8,MIN(Inversiones!$F$30:$F$149))),1),12),"mmm yyyy"))</f>
        <v/>
      </c>
      <c r="C940" s="74" t="str">
        <f>IF(EDATE(DATE(YEAR(IF(COUNT(Inversiones!$F$30:$F$149)=0,'Configuración'!$C$8,MIN(Inversiones!$F$30:$F$149))),MONTH(IF(COUNT(Inversiones!$F$30:$F$149)=0,'Configuración'!$C$8,MIN(Inversiones!$F$30:$F$149))),1),12)&gt;EOMONTH('Configuración'!$C$8,0),"",IF(Inversiones!$D$4="Todos",IF(SUMIFS('Cálculos'!$E$278:$E$334,'Cálculos'!$B$278:$B$334,EDATE(DATE(YEAR(IF(COUNT(Inversiones!$F$30:$F$149)=0,'Configuración'!$C$8,MIN(Inversiones!$F$30:$F$149))),MONTH(IF(COUNT(Inversiones!$F$30:$F$149)=0,'Configuración'!$C$8,MIN(Inversiones!$F$30:$F$149))),1),12))=COUNTA(Inversiones!$B$30:$B$149),SUMIFS('Cálculos'!$G$278:$G$334,'Cálculos'!$B$278:$B$334,EDATE(DATE(YEAR(IF(COUNT(Inversiones!$F$30:$F$149)=0,'Configuración'!$C$8,MIN(Inversiones!$F$30:$F$149))),MONTH(IF(COUNT(Inversiones!$F$30:$F$149)=0,'Configuración'!$C$8,MIN(Inversiones!$F$30:$F$149))),1),12)),""),IF(SUMIFS('Cálculos'!$E$278:$E$334,'Cálculos'!$B$278:$B$334,EDATE(DATE(YEAR(IF(COUNT(Inversiones!$F$30:$F$149)=0,'Configuración'!$C$8,MIN(Inversiones!$F$30:$F$149))),MONTH(IF(COUNT(Inversiones!$F$30:$F$149)=0,'Configuración'!$C$8,MIN(Inversiones!$F$30:$F$149))),1),12),'Cálculos'!$C$278:$C$334,'Cálculos'!$I$4)=1,SUMIFS('Cálculos'!$G$278:$G$334,'Cálculos'!$B$278:$B$334,EDATE(DATE(YEAR(IF(COUNT(Inversiones!$F$30:$F$149)=0,'Configuración'!$C$8,MIN(Inversiones!$F$30:$F$149))),MONTH(IF(COUNT(Inversiones!$F$30:$F$149)=0,'Configuración'!$C$8,MIN(Inversiones!$F$30:$F$149))),1),12),'Cálculos'!$C$278:$C$334,'Cálculos'!$I$4),"")))</f>
        <v/>
      </c>
      <c r="D940" s="74" t="str">
        <f>IF(EDATE(DATE(YEAR(IF(COUNT(Inversiones!$F$30:$F$149)=0,'Configuración'!$C$8,MIN(Inversiones!$F$30:$F$149))),MONTH(IF(COUNT(Inversiones!$F$30:$F$149)=0,'Configuración'!$C$8,MIN(Inversiones!$F$30:$F$149))),1),12)&gt;EOMONTH('Configuración'!$C$8,0),"",IF(Inversiones!$D$4="Todos",IF(SUMIFS('Cálculos'!$K$278:$K$334,'Cálculos'!$B$278:$B$334,EDATE(DATE(YEAR(IF(COUNT(Inversiones!$F$30:$F$149)=0,'Configuración'!$C$8,MIN(Inversiones!$F$30:$F$149))),MONTH(IF(COUNT(Inversiones!$F$30:$F$149)=0,'Configuración'!$C$8,MIN(Inversiones!$F$30:$F$149))),1),12))=COUNTA(Inversiones!$B$30:$B$149),SUMIFS('Cálculos'!$J$278:$J$334,'Cálculos'!$B$278:$B$334,EDATE(DATE(YEAR(IF(COUNT(Inversiones!$F$30:$F$149)=0,'Configuración'!$C$8,MIN(Inversiones!$F$30:$F$149))),MONTH(IF(COUNT(Inversiones!$F$30:$F$149)=0,'Configuración'!$C$8,MIN(Inversiones!$F$30:$F$149))),1),12)),""),IF(SUMIFS('Cálculos'!$K$278:$K$334,'Cálculos'!$B$278:$B$334,EDATE(DATE(YEAR(IF(COUNT(Inversiones!$F$30:$F$149)=0,'Configuración'!$C$8,MIN(Inversiones!$F$30:$F$149))),MONTH(IF(COUNT(Inversiones!$F$30:$F$149)=0,'Configuración'!$C$8,MIN(Inversiones!$F$30:$F$149))),1),12),'Cálculos'!$C$278:$C$334,'Cálculos'!$I$4)=1,SUMIFS('Cálculos'!$J$278:$J$334,'Cálculos'!$B$278:$B$334,EDATE(DATE(YEAR(IF(COUNT(Inversiones!$F$30:$F$149)=0,'Configuración'!$C$8,MIN(Inversiones!$F$30:$F$149))),MONTH(IF(COUNT(Inversiones!$F$30:$F$149)=0,'Configuración'!$C$8,MIN(Inversiones!$F$30:$F$149))),1),12),'Cálculos'!$C$278:$C$334,'Cálculos'!$I$4),"")))</f>
        <v/>
      </c>
      <c r="E940" s="74" t="str">
        <f t="shared" si="2"/>
        <v/>
      </c>
      <c r="F940" s="1"/>
      <c r="G940" s="1"/>
      <c r="H940" s="1"/>
      <c r="I940" s="1"/>
      <c r="J940" s="1"/>
      <c r="K940" s="1"/>
      <c r="L940" s="1"/>
      <c r="M940" s="1"/>
      <c r="N940" s="1"/>
    </row>
    <row r="941" ht="24.75" customHeight="1">
      <c r="A941" s="1"/>
      <c r="B941" s="75" t="str">
        <f>IF(EDATE(DATE(YEAR(IF(COUNT(Inversiones!$F$30:$F$149)=0,'Configuración'!$C$8,MIN(Inversiones!$F$30:$F$149))),MONTH(IF(COUNT(Inversiones!$F$30:$F$149)=0,'Configuración'!$C$8,MIN(Inversiones!$F$30:$F$149))),1),13)&gt;EOMONTH('Configuración'!$C$8,0),"",TEXT(EDATE(DATE(YEAR(IF(COUNT(Inversiones!$F$30:$F$149)=0,'Configuración'!$C$8,MIN(Inversiones!$F$30:$F$149))),MONTH(IF(COUNT(Inversiones!$F$30:$F$149)=0,'Configuración'!$C$8,MIN(Inversiones!$F$30:$F$149))),1),13),"mmm yyyy"))</f>
        <v/>
      </c>
      <c r="C941" s="76" t="str">
        <f>IF(EDATE(DATE(YEAR(IF(COUNT(Inversiones!$F$30:$F$149)=0,'Configuración'!$C$8,MIN(Inversiones!$F$30:$F$149))),MONTH(IF(COUNT(Inversiones!$F$30:$F$149)=0,'Configuración'!$C$8,MIN(Inversiones!$F$30:$F$149))),1),13)&gt;EOMONTH('Configuración'!$C$8,0),"",IF(Inversiones!$D$4="Todos",IF(SUMIFS('Cálculos'!$E$278:$E$334,'Cálculos'!$B$278:$B$334,EDATE(DATE(YEAR(IF(COUNT(Inversiones!$F$30:$F$149)=0,'Configuración'!$C$8,MIN(Inversiones!$F$30:$F$149))),MONTH(IF(COUNT(Inversiones!$F$30:$F$149)=0,'Configuración'!$C$8,MIN(Inversiones!$F$30:$F$149))),1),13))=COUNTA(Inversiones!$B$30:$B$149),SUMIFS('Cálculos'!$G$278:$G$334,'Cálculos'!$B$278:$B$334,EDATE(DATE(YEAR(IF(COUNT(Inversiones!$F$30:$F$149)=0,'Configuración'!$C$8,MIN(Inversiones!$F$30:$F$149))),MONTH(IF(COUNT(Inversiones!$F$30:$F$149)=0,'Configuración'!$C$8,MIN(Inversiones!$F$30:$F$149))),1),13)),""),IF(SUMIFS('Cálculos'!$E$278:$E$334,'Cálculos'!$B$278:$B$334,EDATE(DATE(YEAR(IF(COUNT(Inversiones!$F$30:$F$149)=0,'Configuración'!$C$8,MIN(Inversiones!$F$30:$F$149))),MONTH(IF(COUNT(Inversiones!$F$30:$F$149)=0,'Configuración'!$C$8,MIN(Inversiones!$F$30:$F$149))),1),13),'Cálculos'!$C$278:$C$334,'Cálculos'!$I$4)=1,SUMIFS('Cálculos'!$G$278:$G$334,'Cálculos'!$B$278:$B$334,EDATE(DATE(YEAR(IF(COUNT(Inversiones!$F$30:$F$149)=0,'Configuración'!$C$8,MIN(Inversiones!$F$30:$F$149))),MONTH(IF(COUNT(Inversiones!$F$30:$F$149)=0,'Configuración'!$C$8,MIN(Inversiones!$F$30:$F$149))),1),13),'Cálculos'!$C$278:$C$334,'Cálculos'!$I$4),"")))</f>
        <v/>
      </c>
      <c r="D941" s="76" t="str">
        <f>IF(EDATE(DATE(YEAR(IF(COUNT(Inversiones!$F$30:$F$149)=0,'Configuración'!$C$8,MIN(Inversiones!$F$30:$F$149))),MONTH(IF(COUNT(Inversiones!$F$30:$F$149)=0,'Configuración'!$C$8,MIN(Inversiones!$F$30:$F$149))),1),13)&gt;EOMONTH('Configuración'!$C$8,0),"",IF(Inversiones!$D$4="Todos",IF(SUMIFS('Cálculos'!$K$278:$K$334,'Cálculos'!$B$278:$B$334,EDATE(DATE(YEAR(IF(COUNT(Inversiones!$F$30:$F$149)=0,'Configuración'!$C$8,MIN(Inversiones!$F$30:$F$149))),MONTH(IF(COUNT(Inversiones!$F$30:$F$149)=0,'Configuración'!$C$8,MIN(Inversiones!$F$30:$F$149))),1),13))=COUNTA(Inversiones!$B$30:$B$149),SUMIFS('Cálculos'!$J$278:$J$334,'Cálculos'!$B$278:$B$334,EDATE(DATE(YEAR(IF(COUNT(Inversiones!$F$30:$F$149)=0,'Configuración'!$C$8,MIN(Inversiones!$F$30:$F$149))),MONTH(IF(COUNT(Inversiones!$F$30:$F$149)=0,'Configuración'!$C$8,MIN(Inversiones!$F$30:$F$149))),1),13)),""),IF(SUMIFS('Cálculos'!$K$278:$K$334,'Cálculos'!$B$278:$B$334,EDATE(DATE(YEAR(IF(COUNT(Inversiones!$F$30:$F$149)=0,'Configuración'!$C$8,MIN(Inversiones!$F$30:$F$149))),MONTH(IF(COUNT(Inversiones!$F$30:$F$149)=0,'Configuración'!$C$8,MIN(Inversiones!$F$30:$F$149))),1),13),'Cálculos'!$C$278:$C$334,'Cálculos'!$I$4)=1,SUMIFS('Cálculos'!$J$278:$J$334,'Cálculos'!$B$278:$B$334,EDATE(DATE(YEAR(IF(COUNT(Inversiones!$F$30:$F$149)=0,'Configuración'!$C$8,MIN(Inversiones!$F$30:$F$149))),MONTH(IF(COUNT(Inversiones!$F$30:$F$149)=0,'Configuración'!$C$8,MIN(Inversiones!$F$30:$F$149))),1),13),'Cálculos'!$C$278:$C$334,'Cálculos'!$I$4),"")))</f>
        <v/>
      </c>
      <c r="E941" s="76" t="str">
        <f t="shared" si="2"/>
        <v/>
      </c>
      <c r="F941" s="1"/>
      <c r="G941" s="1"/>
      <c r="H941" s="1"/>
      <c r="I941" s="1"/>
      <c r="J941" s="1"/>
      <c r="K941" s="1"/>
      <c r="L941" s="1"/>
      <c r="M941" s="1"/>
      <c r="N941" s="1"/>
    </row>
    <row r="942" ht="24.75" customHeight="1">
      <c r="A942" s="1"/>
      <c r="B942" s="73" t="str">
        <f>IF(EDATE(DATE(YEAR(IF(COUNT(Inversiones!$F$30:$F$149)=0,'Configuración'!$C$8,MIN(Inversiones!$F$30:$F$149))),MONTH(IF(COUNT(Inversiones!$F$30:$F$149)=0,'Configuración'!$C$8,MIN(Inversiones!$F$30:$F$149))),1),14)&gt;EOMONTH('Configuración'!$C$8,0),"",TEXT(EDATE(DATE(YEAR(IF(COUNT(Inversiones!$F$30:$F$149)=0,'Configuración'!$C$8,MIN(Inversiones!$F$30:$F$149))),MONTH(IF(COUNT(Inversiones!$F$30:$F$149)=0,'Configuración'!$C$8,MIN(Inversiones!$F$30:$F$149))),1),14),"mmm yyyy"))</f>
        <v/>
      </c>
      <c r="C942" s="74" t="str">
        <f>IF(EDATE(DATE(YEAR(IF(COUNT(Inversiones!$F$30:$F$149)=0,'Configuración'!$C$8,MIN(Inversiones!$F$30:$F$149))),MONTH(IF(COUNT(Inversiones!$F$30:$F$149)=0,'Configuración'!$C$8,MIN(Inversiones!$F$30:$F$149))),1),14)&gt;EOMONTH('Configuración'!$C$8,0),"",IF(Inversiones!$D$4="Todos",IF(SUMIFS('Cálculos'!$E$278:$E$334,'Cálculos'!$B$278:$B$334,EDATE(DATE(YEAR(IF(COUNT(Inversiones!$F$30:$F$149)=0,'Configuración'!$C$8,MIN(Inversiones!$F$30:$F$149))),MONTH(IF(COUNT(Inversiones!$F$30:$F$149)=0,'Configuración'!$C$8,MIN(Inversiones!$F$30:$F$149))),1),14))=COUNTA(Inversiones!$B$30:$B$149),SUMIFS('Cálculos'!$G$278:$G$334,'Cálculos'!$B$278:$B$334,EDATE(DATE(YEAR(IF(COUNT(Inversiones!$F$30:$F$149)=0,'Configuración'!$C$8,MIN(Inversiones!$F$30:$F$149))),MONTH(IF(COUNT(Inversiones!$F$30:$F$149)=0,'Configuración'!$C$8,MIN(Inversiones!$F$30:$F$149))),1),14)),""),IF(SUMIFS('Cálculos'!$E$278:$E$334,'Cálculos'!$B$278:$B$334,EDATE(DATE(YEAR(IF(COUNT(Inversiones!$F$30:$F$149)=0,'Configuración'!$C$8,MIN(Inversiones!$F$30:$F$149))),MONTH(IF(COUNT(Inversiones!$F$30:$F$149)=0,'Configuración'!$C$8,MIN(Inversiones!$F$30:$F$149))),1),14),'Cálculos'!$C$278:$C$334,'Cálculos'!$I$4)=1,SUMIFS('Cálculos'!$G$278:$G$334,'Cálculos'!$B$278:$B$334,EDATE(DATE(YEAR(IF(COUNT(Inversiones!$F$30:$F$149)=0,'Configuración'!$C$8,MIN(Inversiones!$F$30:$F$149))),MONTH(IF(COUNT(Inversiones!$F$30:$F$149)=0,'Configuración'!$C$8,MIN(Inversiones!$F$30:$F$149))),1),14),'Cálculos'!$C$278:$C$334,'Cálculos'!$I$4),"")))</f>
        <v/>
      </c>
      <c r="D942" s="74" t="str">
        <f>IF(EDATE(DATE(YEAR(IF(COUNT(Inversiones!$F$30:$F$149)=0,'Configuración'!$C$8,MIN(Inversiones!$F$30:$F$149))),MONTH(IF(COUNT(Inversiones!$F$30:$F$149)=0,'Configuración'!$C$8,MIN(Inversiones!$F$30:$F$149))),1),14)&gt;EOMONTH('Configuración'!$C$8,0),"",IF(Inversiones!$D$4="Todos",IF(SUMIFS('Cálculos'!$K$278:$K$334,'Cálculos'!$B$278:$B$334,EDATE(DATE(YEAR(IF(COUNT(Inversiones!$F$30:$F$149)=0,'Configuración'!$C$8,MIN(Inversiones!$F$30:$F$149))),MONTH(IF(COUNT(Inversiones!$F$30:$F$149)=0,'Configuración'!$C$8,MIN(Inversiones!$F$30:$F$149))),1),14))=COUNTA(Inversiones!$B$30:$B$149),SUMIFS('Cálculos'!$J$278:$J$334,'Cálculos'!$B$278:$B$334,EDATE(DATE(YEAR(IF(COUNT(Inversiones!$F$30:$F$149)=0,'Configuración'!$C$8,MIN(Inversiones!$F$30:$F$149))),MONTH(IF(COUNT(Inversiones!$F$30:$F$149)=0,'Configuración'!$C$8,MIN(Inversiones!$F$30:$F$149))),1),14)),""),IF(SUMIFS('Cálculos'!$K$278:$K$334,'Cálculos'!$B$278:$B$334,EDATE(DATE(YEAR(IF(COUNT(Inversiones!$F$30:$F$149)=0,'Configuración'!$C$8,MIN(Inversiones!$F$30:$F$149))),MONTH(IF(COUNT(Inversiones!$F$30:$F$149)=0,'Configuración'!$C$8,MIN(Inversiones!$F$30:$F$149))),1),14),'Cálculos'!$C$278:$C$334,'Cálculos'!$I$4)=1,SUMIFS('Cálculos'!$J$278:$J$334,'Cálculos'!$B$278:$B$334,EDATE(DATE(YEAR(IF(COUNT(Inversiones!$F$30:$F$149)=0,'Configuración'!$C$8,MIN(Inversiones!$F$30:$F$149))),MONTH(IF(COUNT(Inversiones!$F$30:$F$149)=0,'Configuración'!$C$8,MIN(Inversiones!$F$30:$F$149))),1),14),'Cálculos'!$C$278:$C$334,'Cálculos'!$I$4),"")))</f>
        <v/>
      </c>
      <c r="E942" s="74" t="str">
        <f t="shared" si="2"/>
        <v/>
      </c>
      <c r="F942" s="1"/>
      <c r="G942" s="1"/>
      <c r="H942" s="1"/>
      <c r="I942" s="1"/>
      <c r="J942" s="1"/>
      <c r="K942" s="1"/>
      <c r="L942" s="1"/>
      <c r="M942" s="1"/>
      <c r="N942" s="1"/>
    </row>
    <row r="943" ht="24.75" customHeight="1">
      <c r="A943" s="1"/>
      <c r="B943" s="75" t="str">
        <f>IF(EDATE(DATE(YEAR(IF(COUNT(Inversiones!$F$30:$F$149)=0,'Configuración'!$C$8,MIN(Inversiones!$F$30:$F$149))),MONTH(IF(COUNT(Inversiones!$F$30:$F$149)=0,'Configuración'!$C$8,MIN(Inversiones!$F$30:$F$149))),1),15)&gt;EOMONTH('Configuración'!$C$8,0),"",TEXT(EDATE(DATE(YEAR(IF(COUNT(Inversiones!$F$30:$F$149)=0,'Configuración'!$C$8,MIN(Inversiones!$F$30:$F$149))),MONTH(IF(COUNT(Inversiones!$F$30:$F$149)=0,'Configuración'!$C$8,MIN(Inversiones!$F$30:$F$149))),1),15),"mmm yyyy"))</f>
        <v/>
      </c>
      <c r="C943" s="76" t="str">
        <f>IF(EDATE(DATE(YEAR(IF(COUNT(Inversiones!$F$30:$F$149)=0,'Configuración'!$C$8,MIN(Inversiones!$F$30:$F$149))),MONTH(IF(COUNT(Inversiones!$F$30:$F$149)=0,'Configuración'!$C$8,MIN(Inversiones!$F$30:$F$149))),1),15)&gt;EOMONTH('Configuración'!$C$8,0),"",IF(Inversiones!$D$4="Todos",IF(SUMIFS('Cálculos'!$E$278:$E$334,'Cálculos'!$B$278:$B$334,EDATE(DATE(YEAR(IF(COUNT(Inversiones!$F$30:$F$149)=0,'Configuración'!$C$8,MIN(Inversiones!$F$30:$F$149))),MONTH(IF(COUNT(Inversiones!$F$30:$F$149)=0,'Configuración'!$C$8,MIN(Inversiones!$F$30:$F$149))),1),15))=COUNTA(Inversiones!$B$30:$B$149),SUMIFS('Cálculos'!$G$278:$G$334,'Cálculos'!$B$278:$B$334,EDATE(DATE(YEAR(IF(COUNT(Inversiones!$F$30:$F$149)=0,'Configuración'!$C$8,MIN(Inversiones!$F$30:$F$149))),MONTH(IF(COUNT(Inversiones!$F$30:$F$149)=0,'Configuración'!$C$8,MIN(Inversiones!$F$30:$F$149))),1),15)),""),IF(SUMIFS('Cálculos'!$E$278:$E$334,'Cálculos'!$B$278:$B$334,EDATE(DATE(YEAR(IF(COUNT(Inversiones!$F$30:$F$149)=0,'Configuración'!$C$8,MIN(Inversiones!$F$30:$F$149))),MONTH(IF(COUNT(Inversiones!$F$30:$F$149)=0,'Configuración'!$C$8,MIN(Inversiones!$F$30:$F$149))),1),15),'Cálculos'!$C$278:$C$334,'Cálculos'!$I$4)=1,SUMIFS('Cálculos'!$G$278:$G$334,'Cálculos'!$B$278:$B$334,EDATE(DATE(YEAR(IF(COUNT(Inversiones!$F$30:$F$149)=0,'Configuración'!$C$8,MIN(Inversiones!$F$30:$F$149))),MONTH(IF(COUNT(Inversiones!$F$30:$F$149)=0,'Configuración'!$C$8,MIN(Inversiones!$F$30:$F$149))),1),15),'Cálculos'!$C$278:$C$334,'Cálculos'!$I$4),"")))</f>
        <v/>
      </c>
      <c r="D943" s="76" t="str">
        <f>IF(EDATE(DATE(YEAR(IF(COUNT(Inversiones!$F$30:$F$149)=0,'Configuración'!$C$8,MIN(Inversiones!$F$30:$F$149))),MONTH(IF(COUNT(Inversiones!$F$30:$F$149)=0,'Configuración'!$C$8,MIN(Inversiones!$F$30:$F$149))),1),15)&gt;EOMONTH('Configuración'!$C$8,0),"",IF(Inversiones!$D$4="Todos",IF(SUMIFS('Cálculos'!$K$278:$K$334,'Cálculos'!$B$278:$B$334,EDATE(DATE(YEAR(IF(COUNT(Inversiones!$F$30:$F$149)=0,'Configuración'!$C$8,MIN(Inversiones!$F$30:$F$149))),MONTH(IF(COUNT(Inversiones!$F$30:$F$149)=0,'Configuración'!$C$8,MIN(Inversiones!$F$30:$F$149))),1),15))=COUNTA(Inversiones!$B$30:$B$149),SUMIFS('Cálculos'!$J$278:$J$334,'Cálculos'!$B$278:$B$334,EDATE(DATE(YEAR(IF(COUNT(Inversiones!$F$30:$F$149)=0,'Configuración'!$C$8,MIN(Inversiones!$F$30:$F$149))),MONTH(IF(COUNT(Inversiones!$F$30:$F$149)=0,'Configuración'!$C$8,MIN(Inversiones!$F$30:$F$149))),1),15)),""),IF(SUMIFS('Cálculos'!$K$278:$K$334,'Cálculos'!$B$278:$B$334,EDATE(DATE(YEAR(IF(COUNT(Inversiones!$F$30:$F$149)=0,'Configuración'!$C$8,MIN(Inversiones!$F$30:$F$149))),MONTH(IF(COUNT(Inversiones!$F$30:$F$149)=0,'Configuración'!$C$8,MIN(Inversiones!$F$30:$F$149))),1),15),'Cálculos'!$C$278:$C$334,'Cálculos'!$I$4)=1,SUMIFS('Cálculos'!$J$278:$J$334,'Cálculos'!$B$278:$B$334,EDATE(DATE(YEAR(IF(COUNT(Inversiones!$F$30:$F$149)=0,'Configuración'!$C$8,MIN(Inversiones!$F$30:$F$149))),MONTH(IF(COUNT(Inversiones!$F$30:$F$149)=0,'Configuración'!$C$8,MIN(Inversiones!$F$30:$F$149))),1),15),'Cálculos'!$C$278:$C$334,'Cálculos'!$I$4),"")))</f>
        <v/>
      </c>
      <c r="E943" s="76" t="str">
        <f t="shared" si="2"/>
        <v/>
      </c>
      <c r="F943" s="1"/>
      <c r="G943" s="1"/>
      <c r="H943" s="1"/>
      <c r="I943" s="1"/>
      <c r="J943" s="1"/>
      <c r="K943" s="1"/>
      <c r="L943" s="1"/>
      <c r="M943" s="1"/>
      <c r="N943" s="1"/>
    </row>
    <row r="944" ht="24.75" customHeight="1">
      <c r="A944" s="1"/>
      <c r="B944" s="73" t="str">
        <f>IF(EDATE(DATE(YEAR(IF(COUNT(Inversiones!$F$30:$F$149)=0,'Configuración'!$C$8,MIN(Inversiones!$F$30:$F$149))),MONTH(IF(COUNT(Inversiones!$F$30:$F$149)=0,'Configuración'!$C$8,MIN(Inversiones!$F$30:$F$149))),1),16)&gt;EOMONTH('Configuración'!$C$8,0),"",TEXT(EDATE(DATE(YEAR(IF(COUNT(Inversiones!$F$30:$F$149)=0,'Configuración'!$C$8,MIN(Inversiones!$F$30:$F$149))),MONTH(IF(COUNT(Inversiones!$F$30:$F$149)=0,'Configuración'!$C$8,MIN(Inversiones!$F$30:$F$149))),1),16),"mmm yyyy"))</f>
        <v/>
      </c>
      <c r="C944" s="74" t="str">
        <f>IF(EDATE(DATE(YEAR(IF(COUNT(Inversiones!$F$30:$F$149)=0,'Configuración'!$C$8,MIN(Inversiones!$F$30:$F$149))),MONTH(IF(COUNT(Inversiones!$F$30:$F$149)=0,'Configuración'!$C$8,MIN(Inversiones!$F$30:$F$149))),1),16)&gt;EOMONTH('Configuración'!$C$8,0),"",IF(Inversiones!$D$4="Todos",IF(SUMIFS('Cálculos'!$E$278:$E$334,'Cálculos'!$B$278:$B$334,EDATE(DATE(YEAR(IF(COUNT(Inversiones!$F$30:$F$149)=0,'Configuración'!$C$8,MIN(Inversiones!$F$30:$F$149))),MONTH(IF(COUNT(Inversiones!$F$30:$F$149)=0,'Configuración'!$C$8,MIN(Inversiones!$F$30:$F$149))),1),16))=COUNTA(Inversiones!$B$30:$B$149),SUMIFS('Cálculos'!$G$278:$G$334,'Cálculos'!$B$278:$B$334,EDATE(DATE(YEAR(IF(COUNT(Inversiones!$F$30:$F$149)=0,'Configuración'!$C$8,MIN(Inversiones!$F$30:$F$149))),MONTH(IF(COUNT(Inversiones!$F$30:$F$149)=0,'Configuración'!$C$8,MIN(Inversiones!$F$30:$F$149))),1),16)),""),IF(SUMIFS('Cálculos'!$E$278:$E$334,'Cálculos'!$B$278:$B$334,EDATE(DATE(YEAR(IF(COUNT(Inversiones!$F$30:$F$149)=0,'Configuración'!$C$8,MIN(Inversiones!$F$30:$F$149))),MONTH(IF(COUNT(Inversiones!$F$30:$F$149)=0,'Configuración'!$C$8,MIN(Inversiones!$F$30:$F$149))),1),16),'Cálculos'!$C$278:$C$334,'Cálculos'!$I$4)=1,SUMIFS('Cálculos'!$G$278:$G$334,'Cálculos'!$B$278:$B$334,EDATE(DATE(YEAR(IF(COUNT(Inversiones!$F$30:$F$149)=0,'Configuración'!$C$8,MIN(Inversiones!$F$30:$F$149))),MONTH(IF(COUNT(Inversiones!$F$30:$F$149)=0,'Configuración'!$C$8,MIN(Inversiones!$F$30:$F$149))),1),16),'Cálculos'!$C$278:$C$334,'Cálculos'!$I$4),"")))</f>
        <v/>
      </c>
      <c r="D944" s="74" t="str">
        <f>IF(EDATE(DATE(YEAR(IF(COUNT(Inversiones!$F$30:$F$149)=0,'Configuración'!$C$8,MIN(Inversiones!$F$30:$F$149))),MONTH(IF(COUNT(Inversiones!$F$30:$F$149)=0,'Configuración'!$C$8,MIN(Inversiones!$F$30:$F$149))),1),16)&gt;EOMONTH('Configuración'!$C$8,0),"",IF(Inversiones!$D$4="Todos",IF(SUMIFS('Cálculos'!$K$278:$K$334,'Cálculos'!$B$278:$B$334,EDATE(DATE(YEAR(IF(COUNT(Inversiones!$F$30:$F$149)=0,'Configuración'!$C$8,MIN(Inversiones!$F$30:$F$149))),MONTH(IF(COUNT(Inversiones!$F$30:$F$149)=0,'Configuración'!$C$8,MIN(Inversiones!$F$30:$F$149))),1),16))=COUNTA(Inversiones!$B$30:$B$149),SUMIFS('Cálculos'!$J$278:$J$334,'Cálculos'!$B$278:$B$334,EDATE(DATE(YEAR(IF(COUNT(Inversiones!$F$30:$F$149)=0,'Configuración'!$C$8,MIN(Inversiones!$F$30:$F$149))),MONTH(IF(COUNT(Inversiones!$F$30:$F$149)=0,'Configuración'!$C$8,MIN(Inversiones!$F$30:$F$149))),1),16)),""),IF(SUMIFS('Cálculos'!$K$278:$K$334,'Cálculos'!$B$278:$B$334,EDATE(DATE(YEAR(IF(COUNT(Inversiones!$F$30:$F$149)=0,'Configuración'!$C$8,MIN(Inversiones!$F$30:$F$149))),MONTH(IF(COUNT(Inversiones!$F$30:$F$149)=0,'Configuración'!$C$8,MIN(Inversiones!$F$30:$F$149))),1),16),'Cálculos'!$C$278:$C$334,'Cálculos'!$I$4)=1,SUMIFS('Cálculos'!$J$278:$J$334,'Cálculos'!$B$278:$B$334,EDATE(DATE(YEAR(IF(COUNT(Inversiones!$F$30:$F$149)=0,'Configuración'!$C$8,MIN(Inversiones!$F$30:$F$149))),MONTH(IF(COUNT(Inversiones!$F$30:$F$149)=0,'Configuración'!$C$8,MIN(Inversiones!$F$30:$F$149))),1),16),'Cálculos'!$C$278:$C$334,'Cálculos'!$I$4),"")))</f>
        <v/>
      </c>
      <c r="E944" s="74" t="str">
        <f t="shared" si="2"/>
        <v/>
      </c>
      <c r="F944" s="1"/>
      <c r="G944" s="1"/>
      <c r="H944" s="1"/>
      <c r="I944" s="1"/>
      <c r="J944" s="1"/>
      <c r="K944" s="1"/>
      <c r="L944" s="1"/>
      <c r="M944" s="1"/>
      <c r="N944" s="1"/>
    </row>
    <row r="945" ht="24.75" customHeight="1">
      <c r="A945" s="1"/>
      <c r="B945" s="75" t="str">
        <f>IF(EDATE(DATE(YEAR(IF(COUNT(Inversiones!$F$30:$F$149)=0,'Configuración'!$C$8,MIN(Inversiones!$F$30:$F$149))),MONTH(IF(COUNT(Inversiones!$F$30:$F$149)=0,'Configuración'!$C$8,MIN(Inversiones!$F$30:$F$149))),1),17)&gt;EOMONTH('Configuración'!$C$8,0),"",TEXT(EDATE(DATE(YEAR(IF(COUNT(Inversiones!$F$30:$F$149)=0,'Configuración'!$C$8,MIN(Inversiones!$F$30:$F$149))),MONTH(IF(COUNT(Inversiones!$F$30:$F$149)=0,'Configuración'!$C$8,MIN(Inversiones!$F$30:$F$149))),1),17),"mmm yyyy"))</f>
        <v/>
      </c>
      <c r="C945" s="76" t="str">
        <f>IF(EDATE(DATE(YEAR(IF(COUNT(Inversiones!$F$30:$F$149)=0,'Configuración'!$C$8,MIN(Inversiones!$F$30:$F$149))),MONTH(IF(COUNT(Inversiones!$F$30:$F$149)=0,'Configuración'!$C$8,MIN(Inversiones!$F$30:$F$149))),1),17)&gt;EOMONTH('Configuración'!$C$8,0),"",IF(Inversiones!$D$4="Todos",IF(SUMIFS('Cálculos'!$E$278:$E$334,'Cálculos'!$B$278:$B$334,EDATE(DATE(YEAR(IF(COUNT(Inversiones!$F$30:$F$149)=0,'Configuración'!$C$8,MIN(Inversiones!$F$30:$F$149))),MONTH(IF(COUNT(Inversiones!$F$30:$F$149)=0,'Configuración'!$C$8,MIN(Inversiones!$F$30:$F$149))),1),17))=COUNTA(Inversiones!$B$30:$B$149),SUMIFS('Cálculos'!$G$278:$G$334,'Cálculos'!$B$278:$B$334,EDATE(DATE(YEAR(IF(COUNT(Inversiones!$F$30:$F$149)=0,'Configuración'!$C$8,MIN(Inversiones!$F$30:$F$149))),MONTH(IF(COUNT(Inversiones!$F$30:$F$149)=0,'Configuración'!$C$8,MIN(Inversiones!$F$30:$F$149))),1),17)),""),IF(SUMIFS('Cálculos'!$E$278:$E$334,'Cálculos'!$B$278:$B$334,EDATE(DATE(YEAR(IF(COUNT(Inversiones!$F$30:$F$149)=0,'Configuración'!$C$8,MIN(Inversiones!$F$30:$F$149))),MONTH(IF(COUNT(Inversiones!$F$30:$F$149)=0,'Configuración'!$C$8,MIN(Inversiones!$F$30:$F$149))),1),17),'Cálculos'!$C$278:$C$334,'Cálculos'!$I$4)=1,SUMIFS('Cálculos'!$G$278:$G$334,'Cálculos'!$B$278:$B$334,EDATE(DATE(YEAR(IF(COUNT(Inversiones!$F$30:$F$149)=0,'Configuración'!$C$8,MIN(Inversiones!$F$30:$F$149))),MONTH(IF(COUNT(Inversiones!$F$30:$F$149)=0,'Configuración'!$C$8,MIN(Inversiones!$F$30:$F$149))),1),17),'Cálculos'!$C$278:$C$334,'Cálculos'!$I$4),"")))</f>
        <v/>
      </c>
      <c r="D945" s="76" t="str">
        <f>IF(EDATE(DATE(YEAR(IF(COUNT(Inversiones!$F$30:$F$149)=0,'Configuración'!$C$8,MIN(Inversiones!$F$30:$F$149))),MONTH(IF(COUNT(Inversiones!$F$30:$F$149)=0,'Configuración'!$C$8,MIN(Inversiones!$F$30:$F$149))),1),17)&gt;EOMONTH('Configuración'!$C$8,0),"",IF(Inversiones!$D$4="Todos",IF(SUMIFS('Cálculos'!$K$278:$K$334,'Cálculos'!$B$278:$B$334,EDATE(DATE(YEAR(IF(COUNT(Inversiones!$F$30:$F$149)=0,'Configuración'!$C$8,MIN(Inversiones!$F$30:$F$149))),MONTH(IF(COUNT(Inversiones!$F$30:$F$149)=0,'Configuración'!$C$8,MIN(Inversiones!$F$30:$F$149))),1),17))=COUNTA(Inversiones!$B$30:$B$149),SUMIFS('Cálculos'!$J$278:$J$334,'Cálculos'!$B$278:$B$334,EDATE(DATE(YEAR(IF(COUNT(Inversiones!$F$30:$F$149)=0,'Configuración'!$C$8,MIN(Inversiones!$F$30:$F$149))),MONTH(IF(COUNT(Inversiones!$F$30:$F$149)=0,'Configuración'!$C$8,MIN(Inversiones!$F$30:$F$149))),1),17)),""),IF(SUMIFS('Cálculos'!$K$278:$K$334,'Cálculos'!$B$278:$B$334,EDATE(DATE(YEAR(IF(COUNT(Inversiones!$F$30:$F$149)=0,'Configuración'!$C$8,MIN(Inversiones!$F$30:$F$149))),MONTH(IF(COUNT(Inversiones!$F$30:$F$149)=0,'Configuración'!$C$8,MIN(Inversiones!$F$30:$F$149))),1),17),'Cálculos'!$C$278:$C$334,'Cálculos'!$I$4)=1,SUMIFS('Cálculos'!$J$278:$J$334,'Cálculos'!$B$278:$B$334,EDATE(DATE(YEAR(IF(COUNT(Inversiones!$F$30:$F$149)=0,'Configuración'!$C$8,MIN(Inversiones!$F$30:$F$149))),MONTH(IF(COUNT(Inversiones!$F$30:$F$149)=0,'Configuración'!$C$8,MIN(Inversiones!$F$30:$F$149))),1),17),'Cálculos'!$C$278:$C$334,'Cálculos'!$I$4),"")))</f>
        <v/>
      </c>
      <c r="E945" s="76" t="str">
        <f t="shared" si="2"/>
        <v/>
      </c>
      <c r="F945" s="1"/>
      <c r="G945" s="1"/>
      <c r="H945" s="1"/>
      <c r="I945" s="1"/>
      <c r="J945" s="1"/>
      <c r="K945" s="1"/>
      <c r="L945" s="1"/>
      <c r="M945" s="1"/>
      <c r="N945" s="1"/>
    </row>
    <row r="946" ht="24.75" customHeight="1">
      <c r="A946" s="1"/>
      <c r="B946" s="75" t="str">
        <f>IF(EDATE(DATE(YEAR(IF(COUNT(Inversiones!$F$30:$F$149)=0,'Configuración'!$C$8,MIN(Inversiones!$F$30:$F$149))),MONTH(IF(COUNT(Inversiones!$F$30:$F$149)=0,'Configuración'!$C$8,MIN(Inversiones!$F$30:$F$149))),1),18)&gt;EOMONTH('Configuración'!$C$8,0),"",TEXT(EDATE(DATE(YEAR(IF(COUNT(Inversiones!$F$30:$F$149)=0,'Configuración'!$C$8,MIN(Inversiones!$F$30:$F$149))),MONTH(IF(COUNT(Inversiones!$F$30:$F$149)=0,'Configuración'!$C$8,MIN(Inversiones!$F$30:$F$149))),1),18),"mmm yyyy"))</f>
        <v/>
      </c>
      <c r="C946" s="76" t="str">
        <f>IF(EDATE(DATE(YEAR(IF(COUNT(Inversiones!$F$30:$F$149)=0,'Configuración'!$C$8,MIN(Inversiones!$F$30:$F$149))),MONTH(IF(COUNT(Inversiones!$F$30:$F$149)=0,'Configuración'!$C$8,MIN(Inversiones!$F$30:$F$149))),1),18)&gt;EOMONTH('Configuración'!$C$8,0),"",IF(Inversiones!$D$4="Todos",IF(SUMIFS('Cálculos'!$E$278:$E$334,'Cálculos'!$B$278:$B$334,EDATE(DATE(YEAR(IF(COUNT(Inversiones!$F$30:$F$149)=0,'Configuración'!$C$8,MIN(Inversiones!$F$30:$F$149))),MONTH(IF(COUNT(Inversiones!$F$30:$F$149)=0,'Configuración'!$C$8,MIN(Inversiones!$F$30:$F$149))),1),18))=COUNTA(Inversiones!$B$30:$B$149),SUMIFS('Cálculos'!$G$278:$G$334,'Cálculos'!$B$278:$B$334,EDATE(DATE(YEAR(IF(COUNT(Inversiones!$F$30:$F$149)=0,'Configuración'!$C$8,MIN(Inversiones!$F$30:$F$149))),MONTH(IF(COUNT(Inversiones!$F$30:$F$149)=0,'Configuración'!$C$8,MIN(Inversiones!$F$30:$F$149))),1),18)),""),IF(SUMIFS('Cálculos'!$E$278:$E$334,'Cálculos'!$B$278:$B$334,EDATE(DATE(YEAR(IF(COUNT(Inversiones!$F$30:$F$149)=0,'Configuración'!$C$8,MIN(Inversiones!$F$30:$F$149))),MONTH(IF(COUNT(Inversiones!$F$30:$F$149)=0,'Configuración'!$C$8,MIN(Inversiones!$F$30:$F$149))),1),18),'Cálculos'!$C$278:$C$334,'Cálculos'!$I$4)=1,SUMIFS('Cálculos'!$G$278:$G$334,'Cálculos'!$B$278:$B$334,EDATE(DATE(YEAR(IF(COUNT(Inversiones!$F$30:$F$149)=0,'Configuración'!$C$8,MIN(Inversiones!$F$30:$F$149))),MONTH(IF(COUNT(Inversiones!$F$30:$F$149)=0,'Configuración'!$C$8,MIN(Inversiones!$F$30:$F$149))),1),18),'Cálculos'!$C$278:$C$334,'Cálculos'!$I$4),"")))</f>
        <v/>
      </c>
      <c r="D946" s="76" t="str">
        <f>IF(EDATE(DATE(YEAR(IF(COUNT(Inversiones!$F$30:$F$149)=0,'Configuración'!$C$8,MIN(Inversiones!$F$30:$F$149))),MONTH(IF(COUNT(Inversiones!$F$30:$F$149)=0,'Configuración'!$C$8,MIN(Inversiones!$F$30:$F$149))),1),18)&gt;EOMONTH('Configuración'!$C$8,0),"",IF(Inversiones!$D$4="Todos",IF(SUMIFS('Cálculos'!$K$278:$K$334,'Cálculos'!$B$278:$B$334,EDATE(DATE(YEAR(IF(COUNT(Inversiones!$F$30:$F$149)=0,'Configuración'!$C$8,MIN(Inversiones!$F$30:$F$149))),MONTH(IF(COUNT(Inversiones!$F$30:$F$149)=0,'Configuración'!$C$8,MIN(Inversiones!$F$30:$F$149))),1),18))=COUNTA(Inversiones!$B$30:$B$149),SUMIFS('Cálculos'!$J$278:$J$334,'Cálculos'!$B$278:$B$334,EDATE(DATE(YEAR(IF(COUNT(Inversiones!$F$30:$F$149)=0,'Configuración'!$C$8,MIN(Inversiones!$F$30:$F$149))),MONTH(IF(COUNT(Inversiones!$F$30:$F$149)=0,'Configuración'!$C$8,MIN(Inversiones!$F$30:$F$149))),1),18)),""),IF(SUMIFS('Cálculos'!$K$278:$K$334,'Cálculos'!$B$278:$B$334,EDATE(DATE(YEAR(IF(COUNT(Inversiones!$F$30:$F$149)=0,'Configuración'!$C$8,MIN(Inversiones!$F$30:$F$149))),MONTH(IF(COUNT(Inversiones!$F$30:$F$149)=0,'Configuración'!$C$8,MIN(Inversiones!$F$30:$F$149))),1),18),'Cálculos'!$C$278:$C$334,'Cálculos'!$I$4)=1,SUMIFS('Cálculos'!$J$278:$J$334,'Cálculos'!$B$278:$B$334,EDATE(DATE(YEAR(IF(COUNT(Inversiones!$F$30:$F$149)=0,'Configuración'!$C$8,MIN(Inversiones!$F$30:$F$149))),MONTH(IF(COUNT(Inversiones!$F$30:$F$149)=0,'Configuración'!$C$8,MIN(Inversiones!$F$30:$F$149))),1),18),'Cálculos'!$C$278:$C$334,'Cálculos'!$I$4),"")))</f>
        <v/>
      </c>
      <c r="E946" s="76" t="str">
        <f t="shared" si="2"/>
        <v/>
      </c>
      <c r="F946" s="1"/>
      <c r="G946" s="1"/>
      <c r="H946" s="1"/>
      <c r="I946" s="1"/>
      <c r="J946" s="1"/>
      <c r="K946" s="1"/>
      <c r="L946" s="1"/>
      <c r="M946" s="1"/>
      <c r="N946" s="1"/>
    </row>
    <row r="947" ht="24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ht="24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ht="24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ht="24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ht="24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ht="24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ht="24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ht="24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ht="24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ht="24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ht="24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ht="24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ht="24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ht="24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ht="24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ht="24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ht="24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ht="24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ht="24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ht="24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ht="24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ht="24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ht="24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ht="24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ht="24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ht="24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ht="24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ht="24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ht="24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ht="24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ht="24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ht="24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ht="24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</sheetData>
  <mergeCells count="11">
    <mergeCell ref="J6:N6"/>
    <mergeCell ref="B153:N153"/>
    <mergeCell ref="B289:E289"/>
    <mergeCell ref="B925:E925"/>
    <mergeCell ref="B2:N2"/>
    <mergeCell ref="D4:H4"/>
    <mergeCell ref="B5:E5"/>
    <mergeCell ref="F5:I5"/>
    <mergeCell ref="J5:N5"/>
    <mergeCell ref="B6:E6"/>
    <mergeCell ref="F6:I6"/>
  </mergeCells>
  <dataValidations>
    <dataValidation type="list" allowBlank="1" sqref="E30:E149">
      <formula1>"Renta variable,Renta fija,Cripto,Monetario,Mixto,Otros"</formula1>
    </dataValidation>
    <dataValidation type="list" allowBlank="1" sqref="D30:D149">
      <formula1>ListaCuentas</formula1>
    </dataValidation>
    <dataValidation type="list" allowBlank="1" sqref="E156:E285">
      <formula1>"Compra,Venta,Cobro"</formula1>
    </dataValidation>
    <dataValidation type="list" allowBlank="1" sqref="D156:D285">
      <formula1>ListaProductos</formula1>
    </dataValidation>
    <dataValidation type="list" allowBlank="1" sqref="D4">
      <formula1>ListaFiltroProductos</formula1>
    </dataValidation>
  </dataValidation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4252"/>
    <pageSetUpPr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22.0"/>
    <col customWidth="1" min="3" max="6" width="18.0"/>
    <col customWidth="1" min="7" max="7" width="13.0"/>
    <col customWidth="1" min="8" max="11" width="19.0"/>
  </cols>
  <sheetData>
    <row r="1" ht="24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4.75" customHeight="1">
      <c r="A2" s="1"/>
      <c r="B2" s="2" t="s">
        <v>1</v>
      </c>
    </row>
    <row r="3" ht="24.75" customHeight="1">
      <c r="A3" s="1"/>
      <c r="B3" s="3"/>
      <c r="C3" s="3"/>
      <c r="D3" s="3"/>
      <c r="E3" s="3"/>
      <c r="F3" s="3"/>
      <c r="G3" s="3"/>
      <c r="H3" s="3"/>
      <c r="I3" s="3"/>
      <c r="J3" s="3"/>
      <c r="K3" s="3"/>
    </row>
    <row r="4" ht="24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4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24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ht="37.5" customHeight="1">
      <c r="A8" s="1"/>
      <c r="B8" s="4" t="s">
        <v>3</v>
      </c>
      <c r="C8" s="4" t="s">
        <v>5</v>
      </c>
      <c r="D8" s="4" t="s">
        <v>8</v>
      </c>
      <c r="E8" s="4" t="s">
        <v>10</v>
      </c>
      <c r="F8" s="4" t="s">
        <v>12</v>
      </c>
      <c r="G8" s="1"/>
      <c r="H8" s="4" t="s">
        <v>2</v>
      </c>
      <c r="I8" s="4" t="s">
        <v>15</v>
      </c>
      <c r="J8" s="4" t="s">
        <v>5</v>
      </c>
      <c r="K8" s="4" t="s">
        <v>18</v>
      </c>
    </row>
    <row r="9" ht="27.75" customHeight="1">
      <c r="A9" s="1"/>
      <c r="B9" s="5"/>
      <c r="C9" s="6"/>
      <c r="D9" s="6"/>
      <c r="E9" s="7"/>
      <c r="F9" s="9" t="str">
        <f>IF(B9="","",C9+SUMIFS(tMovimientos[Importe],tMovimientos[Destino],B9,tMovimientos[Fecha],"&gt;="&amp;'Configuración'!$C$6,tMovimientos[Fecha],"&lt;="&amp;'Configuración'!$C$7)-SUMIFS(tMovimientos[Importe],tMovimientos[Origen],B9,tMovimientos[Fecha],"&gt;="&amp;'Configuración'!$C$6,tMovimientos[Fecha],"&lt;="&amp;'Configuración'!$C$7))</f>
        <v/>
      </c>
      <c r="G9" s="1"/>
      <c r="H9" s="5"/>
      <c r="I9" s="5"/>
      <c r="J9" s="6"/>
      <c r="K9" s="9" t="str">
        <f>IF(H9="","",J9+SUMIFS(tVinculos[Importe],tVinculos[Vinculado a],H9,tVinculos[Tipo],"Préstamo recibido",tVinculos[Fecha],"&gt;="&amp;'Configuración'!$C$6,tVinculos[Fecha],"&lt;="&amp;'Configuración'!$C$7)-SUMIFS(tVinculos[Importe],tVinculos[Vinculado a],H9,tVinculos[Tipo],"Devolución deuda",tVinculos[Fecha],"&gt;="&amp;'Configuración'!$C$6,tVinculos[Fecha],"&lt;="&amp;'Configuración'!$C$7))</f>
        <v/>
      </c>
    </row>
    <row r="10" ht="27.75" customHeight="1">
      <c r="A10" s="1"/>
      <c r="B10" s="10"/>
      <c r="C10" s="13"/>
      <c r="D10" s="13"/>
      <c r="E10" s="11"/>
      <c r="F10" s="14" t="str">
        <f>IF(B10="","",C10+SUMIFS(tMovimientos[Importe],tMovimientos[Destino],B10,tMovimientos[Fecha],"&gt;="&amp;'Configuración'!$C$6,tMovimientos[Fecha],"&lt;="&amp;'Configuración'!$C$7)-SUMIFS(tMovimientos[Importe],tMovimientos[Origen],B10,tMovimientos[Fecha],"&gt;="&amp;'Configuración'!$C$6,tMovimientos[Fecha],"&lt;="&amp;'Configuración'!$C$7))</f>
        <v/>
      </c>
      <c r="G10" s="1"/>
      <c r="H10" s="10"/>
      <c r="I10" s="10"/>
      <c r="J10" s="13"/>
      <c r="K10" s="14" t="str">
        <f>IF(H10="","",J10+SUMIFS(tVinculos[Importe],tVinculos[Vinculado a],H10,tVinculos[Tipo],"Préstamo recibido",tVinculos[Fecha],"&gt;="&amp;'Configuración'!$C$6,tVinculos[Fecha],"&lt;="&amp;'Configuración'!$C$7)-SUMIFS(tVinculos[Importe],tVinculos[Vinculado a],H10,tVinculos[Tipo],"Devolución deuda",tVinculos[Fecha],"&gt;="&amp;'Configuración'!$C$6,tVinculos[Fecha],"&lt;="&amp;'Configuración'!$C$7))</f>
        <v/>
      </c>
    </row>
    <row r="11" ht="27.75" customHeight="1">
      <c r="A11" s="1"/>
      <c r="B11" s="5"/>
      <c r="C11" s="6"/>
      <c r="D11" s="6"/>
      <c r="E11" s="7"/>
      <c r="F11" s="9" t="str">
        <f>IF(B11="","",C11+SUMIFS(tMovimientos[Importe],tMovimientos[Destino],B11,tMovimientos[Fecha],"&gt;="&amp;'Configuración'!$C$6,tMovimientos[Fecha],"&lt;="&amp;'Configuración'!$C$7)-SUMIFS(tMovimientos[Importe],tMovimientos[Origen],B11,tMovimientos[Fecha],"&gt;="&amp;'Configuración'!$C$6,tMovimientos[Fecha],"&lt;="&amp;'Configuración'!$C$7))</f>
        <v/>
      </c>
      <c r="G11" s="1"/>
      <c r="H11" s="5"/>
      <c r="I11" s="5"/>
      <c r="J11" s="6"/>
      <c r="K11" s="9" t="str">
        <f>IF(H11="","",J11+SUMIFS(tVinculos[Importe],tVinculos[Vinculado a],H11,tVinculos[Tipo],"Préstamo recibido",tVinculos[Fecha],"&gt;="&amp;'Configuración'!$C$6,tVinculos[Fecha],"&lt;="&amp;'Configuración'!$C$7)-SUMIFS(tVinculos[Importe],tVinculos[Vinculado a],H11,tVinculos[Tipo],"Devolución deuda",tVinculos[Fecha],"&gt;="&amp;'Configuración'!$C$6,tVinculos[Fecha],"&lt;="&amp;'Configuración'!$C$7))</f>
        <v/>
      </c>
    </row>
    <row r="12" ht="27.75" customHeight="1">
      <c r="A12" s="1"/>
      <c r="B12" s="10"/>
      <c r="C12" s="13"/>
      <c r="D12" s="13"/>
      <c r="E12" s="11"/>
      <c r="F12" s="14" t="str">
        <f>IF(B12="","",C12+SUMIFS(tMovimientos[Importe],tMovimientos[Destino],B12,tMovimientos[Fecha],"&gt;="&amp;'Configuración'!$C$6,tMovimientos[Fecha],"&lt;="&amp;'Configuración'!$C$7)-SUMIFS(tMovimientos[Importe],tMovimientos[Origen],B12,tMovimientos[Fecha],"&gt;="&amp;'Configuración'!$C$6,tMovimientos[Fecha],"&lt;="&amp;'Configuración'!$C$7))</f>
        <v/>
      </c>
      <c r="G12" s="1"/>
      <c r="H12" s="10"/>
      <c r="I12" s="10"/>
      <c r="J12" s="13"/>
      <c r="K12" s="14" t="str">
        <f>IF(H12="","",J12+SUMIFS(tVinculos[Importe],tVinculos[Vinculado a],H12,tVinculos[Tipo],"Préstamo recibido",tVinculos[Fecha],"&gt;="&amp;'Configuración'!$C$6,tVinculos[Fecha],"&lt;="&amp;'Configuración'!$C$7)-SUMIFS(tVinculos[Importe],tVinculos[Vinculado a],H12,tVinculos[Tipo],"Devolución deuda",tVinculos[Fecha],"&gt;="&amp;'Configuración'!$C$6,tVinculos[Fecha],"&lt;="&amp;'Configuración'!$C$7))</f>
        <v/>
      </c>
    </row>
    <row r="13" ht="27.75" customHeight="1">
      <c r="A13" s="1"/>
      <c r="B13" s="5"/>
      <c r="C13" s="6"/>
      <c r="D13" s="6"/>
      <c r="E13" s="7"/>
      <c r="F13" s="9" t="str">
        <f>IF(B13="","",C13+SUMIFS(tMovimientos[Importe],tMovimientos[Destino],B13,tMovimientos[Fecha],"&gt;="&amp;'Configuración'!$C$6,tMovimientos[Fecha],"&lt;="&amp;'Configuración'!$C$7)-SUMIFS(tMovimientos[Importe],tMovimientos[Origen],B13,tMovimientos[Fecha],"&gt;="&amp;'Configuración'!$C$6,tMovimientos[Fecha],"&lt;="&amp;'Configuración'!$C$7))</f>
        <v/>
      </c>
      <c r="G13" s="1"/>
      <c r="H13" s="5"/>
      <c r="I13" s="5"/>
      <c r="J13" s="6"/>
      <c r="K13" s="9" t="str">
        <f>IF(H13="","",J13+SUMIFS(tVinculos[Importe],tVinculos[Vinculado a],H13,tVinculos[Tipo],"Préstamo recibido",tVinculos[Fecha],"&gt;="&amp;'Configuración'!$C$6,tVinculos[Fecha],"&lt;="&amp;'Configuración'!$C$7)-SUMIFS(tVinculos[Importe],tVinculos[Vinculado a],H13,tVinculos[Tipo],"Devolución deuda",tVinculos[Fecha],"&gt;="&amp;'Configuración'!$C$6,tVinculos[Fecha],"&lt;="&amp;'Configuración'!$C$7))</f>
        <v/>
      </c>
    </row>
    <row r="14" ht="27.75" customHeight="1">
      <c r="A14" s="1"/>
      <c r="B14" s="10"/>
      <c r="C14" s="13"/>
      <c r="D14" s="13"/>
      <c r="E14" s="11"/>
      <c r="F14" s="14" t="str">
        <f>IF(B14="","",C14+SUMIFS(tMovimientos[Importe],tMovimientos[Destino],B14,tMovimientos[Fecha],"&gt;="&amp;'Configuración'!$C$6,tMovimientos[Fecha],"&lt;="&amp;'Configuración'!$C$7)-SUMIFS(tMovimientos[Importe],tMovimientos[Origen],B14,tMovimientos[Fecha],"&gt;="&amp;'Configuración'!$C$6,tMovimientos[Fecha],"&lt;="&amp;'Configuración'!$C$7))</f>
        <v/>
      </c>
      <c r="G14" s="1"/>
      <c r="H14" s="10"/>
      <c r="I14" s="10"/>
      <c r="J14" s="13"/>
      <c r="K14" s="14" t="str">
        <f>IF(H14="","",J14+SUMIFS(tVinculos[Importe],tVinculos[Vinculado a],H14,tVinculos[Tipo],"Préstamo recibido",tVinculos[Fecha],"&gt;="&amp;'Configuración'!$C$6,tVinculos[Fecha],"&lt;="&amp;'Configuración'!$C$7)-SUMIFS(tVinculos[Importe],tVinculos[Vinculado a],H14,tVinculos[Tipo],"Devolución deuda",tVinculos[Fecha],"&gt;="&amp;'Configuración'!$C$6,tVinculos[Fecha],"&lt;="&amp;'Configuración'!$C$7))</f>
        <v/>
      </c>
    </row>
    <row r="15" ht="27.75" customHeight="1">
      <c r="A15" s="1"/>
      <c r="B15" s="5"/>
      <c r="C15" s="6"/>
      <c r="D15" s="6"/>
      <c r="E15" s="7"/>
      <c r="F15" s="9" t="str">
        <f>IF(B15="","",C15+SUMIFS(tMovimientos[Importe],tMovimientos[Destino],B15,tMovimientos[Fecha],"&gt;="&amp;'Configuración'!$C$6,tMovimientos[Fecha],"&lt;="&amp;'Configuración'!$C$7)-SUMIFS(tMovimientos[Importe],tMovimientos[Origen],B15,tMovimientos[Fecha],"&gt;="&amp;'Configuración'!$C$6,tMovimientos[Fecha],"&lt;="&amp;'Configuración'!$C$7))</f>
        <v/>
      </c>
      <c r="G15" s="1"/>
      <c r="H15" s="5"/>
      <c r="I15" s="5"/>
      <c r="J15" s="6"/>
      <c r="K15" s="9" t="str">
        <f>IF(H15="","",J15+SUMIFS(tVinculos[Importe],tVinculos[Vinculado a],H15,tVinculos[Tipo],"Préstamo recibido",tVinculos[Fecha],"&gt;="&amp;'Configuración'!$C$6,tVinculos[Fecha],"&lt;="&amp;'Configuración'!$C$7)-SUMIFS(tVinculos[Importe],tVinculos[Vinculado a],H15,tVinculos[Tipo],"Devolución deuda",tVinculos[Fecha],"&gt;="&amp;'Configuración'!$C$6,tVinculos[Fecha],"&lt;="&amp;'Configuración'!$C$7))</f>
        <v/>
      </c>
    </row>
    <row r="16" ht="27.75" customHeight="1">
      <c r="A16" s="1"/>
      <c r="B16" s="10"/>
      <c r="C16" s="13"/>
      <c r="D16" s="13"/>
      <c r="E16" s="11"/>
      <c r="F16" s="14" t="str">
        <f>IF(B16="","",C16+SUMIFS(tMovimientos[Importe],tMovimientos[Destino],B16,tMovimientos[Fecha],"&gt;="&amp;'Configuración'!$C$6,tMovimientos[Fecha],"&lt;="&amp;'Configuración'!$C$7)-SUMIFS(tMovimientos[Importe],tMovimientos[Origen],B16,tMovimientos[Fecha],"&gt;="&amp;'Configuración'!$C$6,tMovimientos[Fecha],"&lt;="&amp;'Configuración'!$C$7))</f>
        <v/>
      </c>
      <c r="G16" s="1"/>
      <c r="H16" s="10"/>
      <c r="I16" s="10"/>
      <c r="J16" s="13"/>
      <c r="K16" s="14" t="str">
        <f>IF(H16="","",J16+SUMIFS(tVinculos[Importe],tVinculos[Vinculado a],H16,tVinculos[Tipo],"Préstamo recibido",tVinculos[Fecha],"&gt;="&amp;'Configuración'!$C$6,tVinculos[Fecha],"&lt;="&amp;'Configuración'!$C$7)-SUMIFS(tVinculos[Importe],tVinculos[Vinculado a],H16,tVinculos[Tipo],"Devolución deuda",tVinculos[Fecha],"&gt;="&amp;'Configuración'!$C$6,tVinculos[Fecha],"&lt;="&amp;'Configuración'!$C$7))</f>
        <v/>
      </c>
    </row>
    <row r="17" ht="27.75" customHeight="1">
      <c r="A17" s="1"/>
      <c r="B17" s="5"/>
      <c r="C17" s="6"/>
      <c r="D17" s="6"/>
      <c r="E17" s="7"/>
      <c r="F17" s="9" t="str">
        <f>IF(B17="","",C17+SUMIFS(tMovimientos[Importe],tMovimientos[Destino],B17,tMovimientos[Fecha],"&gt;="&amp;'Configuración'!$C$6,tMovimientos[Fecha],"&lt;="&amp;'Configuración'!$C$7)-SUMIFS(tMovimientos[Importe],tMovimientos[Origen],B17,tMovimientos[Fecha],"&gt;="&amp;'Configuración'!$C$6,tMovimientos[Fecha],"&lt;="&amp;'Configuración'!$C$7))</f>
        <v/>
      </c>
      <c r="G17" s="1"/>
      <c r="H17" s="5"/>
      <c r="I17" s="5"/>
      <c r="J17" s="6"/>
      <c r="K17" s="9" t="str">
        <f>IF(H17="","",J17+SUMIFS(tVinculos[Importe],tVinculos[Vinculado a],H17,tVinculos[Tipo],"Préstamo recibido",tVinculos[Fecha],"&gt;="&amp;'Configuración'!$C$6,tVinculos[Fecha],"&lt;="&amp;'Configuración'!$C$7)-SUMIFS(tVinculos[Importe],tVinculos[Vinculado a],H17,tVinculos[Tipo],"Devolución deuda",tVinculos[Fecha],"&gt;="&amp;'Configuración'!$C$6,tVinculos[Fecha],"&lt;="&amp;'Configuración'!$C$7))</f>
        <v/>
      </c>
    </row>
    <row r="18" ht="27.75" customHeight="1">
      <c r="A18" s="1"/>
      <c r="B18" s="10"/>
      <c r="C18" s="13"/>
      <c r="D18" s="13"/>
      <c r="E18" s="11"/>
      <c r="F18" s="14" t="str">
        <f>IF(B18="","",C18+SUMIFS(tMovimientos[Importe],tMovimientos[Destino],B18,tMovimientos[Fecha],"&gt;="&amp;'Configuración'!$C$6,tMovimientos[Fecha],"&lt;="&amp;'Configuración'!$C$7)-SUMIFS(tMovimientos[Importe],tMovimientos[Origen],B18,tMovimientos[Fecha],"&gt;="&amp;'Configuración'!$C$6,tMovimientos[Fecha],"&lt;="&amp;'Configuración'!$C$7))</f>
        <v/>
      </c>
      <c r="G18" s="1"/>
      <c r="H18" s="10"/>
      <c r="I18" s="10"/>
      <c r="J18" s="13"/>
      <c r="K18" s="14" t="str">
        <f>IF(H18="","",J18+SUMIFS(tVinculos[Importe],tVinculos[Vinculado a],H18,tVinculos[Tipo],"Préstamo recibido",tVinculos[Fecha],"&gt;="&amp;'Configuración'!$C$6,tVinculos[Fecha],"&lt;="&amp;'Configuración'!$C$7)-SUMIFS(tVinculos[Importe],tVinculos[Vinculado a],H18,tVinculos[Tipo],"Devolución deuda",tVinculos[Fecha],"&gt;="&amp;'Configuración'!$C$6,tVinculos[Fecha],"&lt;="&amp;'Configuración'!$C$7))</f>
        <v/>
      </c>
    </row>
    <row r="19" ht="27.75" customHeight="1">
      <c r="A19" s="1"/>
      <c r="B19" s="5"/>
      <c r="C19" s="6"/>
      <c r="D19" s="6"/>
      <c r="E19" s="7"/>
      <c r="F19" s="9" t="str">
        <f>IF(B19="","",C19+SUMIFS(tMovimientos[Importe],tMovimientos[Destino],B19,tMovimientos[Fecha],"&gt;="&amp;'Configuración'!$C$6,tMovimientos[Fecha],"&lt;="&amp;'Configuración'!$C$7)-SUMIFS(tMovimientos[Importe],tMovimientos[Origen],B19,tMovimientos[Fecha],"&gt;="&amp;'Configuración'!$C$6,tMovimientos[Fecha],"&lt;="&amp;'Configuración'!$C$7))</f>
        <v/>
      </c>
      <c r="G19" s="1"/>
      <c r="H19" s="5"/>
      <c r="I19" s="5"/>
      <c r="J19" s="6"/>
      <c r="K19" s="9" t="str">
        <f>IF(H19="","",J19+SUMIFS(tVinculos[Importe],tVinculos[Vinculado a],H19,tVinculos[Tipo],"Préstamo recibido",tVinculos[Fecha],"&gt;="&amp;'Configuración'!$C$6,tVinculos[Fecha],"&lt;="&amp;'Configuración'!$C$7)-SUMIFS(tVinculos[Importe],tVinculos[Vinculado a],H19,tVinculos[Tipo],"Devolución deuda",tVinculos[Fecha],"&gt;="&amp;'Configuración'!$C$6,tVinculos[Fecha],"&lt;="&amp;'Configuración'!$C$7))</f>
        <v/>
      </c>
    </row>
    <row r="20" ht="27.75" customHeight="1">
      <c r="A20" s="1"/>
      <c r="B20" s="10"/>
      <c r="C20" s="13"/>
      <c r="D20" s="13"/>
      <c r="E20" s="11"/>
      <c r="F20" s="14" t="str">
        <f>IF(B20="","",C20+SUMIFS(tMovimientos[Importe],tMovimientos[Destino],B20,tMovimientos[Fecha],"&gt;="&amp;'Configuración'!$C$6,tMovimientos[Fecha],"&lt;="&amp;'Configuración'!$C$7)-SUMIFS(tMovimientos[Importe],tMovimientos[Origen],B20,tMovimientos[Fecha],"&gt;="&amp;'Configuración'!$C$6,tMovimientos[Fecha],"&lt;="&amp;'Configuración'!$C$7))</f>
        <v/>
      </c>
      <c r="G20" s="1"/>
      <c r="H20" s="10"/>
      <c r="I20" s="10"/>
      <c r="J20" s="13"/>
      <c r="K20" s="14" t="str">
        <f>IF(H20="","",J20+SUMIFS(tVinculos[Importe],tVinculos[Vinculado a],H20,tVinculos[Tipo],"Préstamo recibido",tVinculos[Fecha],"&gt;="&amp;'Configuración'!$C$6,tVinculos[Fecha],"&lt;="&amp;'Configuración'!$C$7)-SUMIFS(tVinculos[Importe],tVinculos[Vinculado a],H20,tVinculos[Tipo],"Devolución deuda",tVinculos[Fecha],"&gt;="&amp;'Configuración'!$C$6,tVinculos[Fecha],"&lt;="&amp;'Configuración'!$C$7))</f>
        <v/>
      </c>
    </row>
    <row r="21" ht="27.75" customHeight="1">
      <c r="A21" s="1"/>
      <c r="B21" s="5"/>
      <c r="C21" s="6"/>
      <c r="D21" s="6"/>
      <c r="E21" s="7"/>
      <c r="F21" s="9" t="str">
        <f>IF(B21="","",C21+SUMIFS(tMovimientos[Importe],tMovimientos[Destino],B21,tMovimientos[Fecha],"&gt;="&amp;'Configuración'!$C$6,tMovimientos[Fecha],"&lt;="&amp;'Configuración'!$C$7)-SUMIFS(tMovimientos[Importe],tMovimientos[Origen],B21,tMovimientos[Fecha],"&gt;="&amp;'Configuración'!$C$6,tMovimientos[Fecha],"&lt;="&amp;'Configuración'!$C$7))</f>
        <v/>
      </c>
      <c r="G21" s="1"/>
      <c r="H21" s="5"/>
      <c r="I21" s="5"/>
      <c r="J21" s="6"/>
      <c r="K21" s="9" t="str">
        <f>IF(H21="","",J21+SUMIFS(tVinculos[Importe],tVinculos[Vinculado a],H21,tVinculos[Tipo],"Préstamo recibido",tVinculos[Fecha],"&gt;="&amp;'Configuración'!$C$6,tVinculos[Fecha],"&lt;="&amp;'Configuración'!$C$7)-SUMIFS(tVinculos[Importe],tVinculos[Vinculado a],H21,tVinculos[Tipo],"Devolución deuda",tVinculos[Fecha],"&gt;="&amp;'Configuración'!$C$6,tVinculos[Fecha],"&lt;="&amp;'Configuración'!$C$7))</f>
        <v/>
      </c>
    </row>
    <row r="22" ht="27.75" customHeight="1">
      <c r="A22" s="1"/>
      <c r="B22" s="10"/>
      <c r="C22" s="13"/>
      <c r="D22" s="13"/>
      <c r="E22" s="11"/>
      <c r="F22" s="14" t="str">
        <f>IF(B22="","",C22+SUMIFS(tMovimientos[Importe],tMovimientos[Destino],B22,tMovimientos[Fecha],"&gt;="&amp;'Configuración'!$C$6,tMovimientos[Fecha],"&lt;="&amp;'Configuración'!$C$7)-SUMIFS(tMovimientos[Importe],tMovimientos[Origen],B22,tMovimientos[Fecha],"&gt;="&amp;'Configuración'!$C$6,tMovimientos[Fecha],"&lt;="&amp;'Configuración'!$C$7))</f>
        <v/>
      </c>
      <c r="G22" s="1"/>
      <c r="H22" s="10"/>
      <c r="I22" s="10"/>
      <c r="J22" s="13"/>
      <c r="K22" s="14" t="str">
        <f>IF(H22="","",J22+SUMIFS(tVinculos[Importe],tVinculos[Vinculado a],H22,tVinculos[Tipo],"Préstamo recibido",tVinculos[Fecha],"&gt;="&amp;'Configuración'!$C$6,tVinculos[Fecha],"&lt;="&amp;'Configuración'!$C$7)-SUMIFS(tVinculos[Importe],tVinculos[Vinculado a],H22,tVinculos[Tipo],"Devolución deuda",tVinculos[Fecha],"&gt;="&amp;'Configuración'!$C$6,tVinculos[Fecha],"&lt;="&amp;'Configuración'!$C$7))</f>
        <v/>
      </c>
    </row>
    <row r="23" ht="27.75" customHeight="1">
      <c r="A23" s="1"/>
      <c r="B23" s="5"/>
      <c r="C23" s="6"/>
      <c r="D23" s="6"/>
      <c r="E23" s="7"/>
      <c r="F23" s="9" t="str">
        <f>IF(B23="","",C23+SUMIFS(tMovimientos[Importe],tMovimientos[Destino],B23,tMovimientos[Fecha],"&gt;="&amp;'Configuración'!$C$6,tMovimientos[Fecha],"&lt;="&amp;'Configuración'!$C$7)-SUMIFS(tMovimientos[Importe],tMovimientos[Origen],B23,tMovimientos[Fecha],"&gt;="&amp;'Configuración'!$C$6,tMovimientos[Fecha],"&lt;="&amp;'Configuración'!$C$7))</f>
        <v/>
      </c>
      <c r="G23" s="1"/>
      <c r="H23" s="5"/>
      <c r="I23" s="5"/>
      <c r="J23" s="6"/>
      <c r="K23" s="9" t="str">
        <f>IF(H23="","",J23+SUMIFS(tVinculos[Importe],tVinculos[Vinculado a],H23,tVinculos[Tipo],"Préstamo recibido",tVinculos[Fecha],"&gt;="&amp;'Configuración'!$C$6,tVinculos[Fecha],"&lt;="&amp;'Configuración'!$C$7)-SUMIFS(tVinculos[Importe],tVinculos[Vinculado a],H23,tVinculos[Tipo],"Devolución deuda",tVinculos[Fecha],"&gt;="&amp;'Configuración'!$C$6,tVinculos[Fecha],"&lt;="&amp;'Configuración'!$C$7))</f>
        <v/>
      </c>
    </row>
    <row r="24" ht="27.75" customHeight="1">
      <c r="A24" s="1"/>
      <c r="B24" s="10"/>
      <c r="C24" s="13"/>
      <c r="D24" s="13"/>
      <c r="E24" s="11"/>
      <c r="F24" s="14" t="str">
        <f>IF(B24="","",C24+SUMIFS(tMovimientos[Importe],tMovimientos[Destino],B24,tMovimientos[Fecha],"&gt;="&amp;'Configuración'!$C$6,tMovimientos[Fecha],"&lt;="&amp;'Configuración'!$C$7)-SUMIFS(tMovimientos[Importe],tMovimientos[Origen],B24,tMovimientos[Fecha],"&gt;="&amp;'Configuración'!$C$6,tMovimientos[Fecha],"&lt;="&amp;'Configuración'!$C$7))</f>
        <v/>
      </c>
      <c r="G24" s="1"/>
      <c r="H24" s="10"/>
      <c r="I24" s="10"/>
      <c r="J24" s="13"/>
      <c r="K24" s="14" t="str">
        <f>IF(H24="","",J24+SUMIFS(tVinculos[Importe],tVinculos[Vinculado a],H24,tVinculos[Tipo],"Préstamo recibido",tVinculos[Fecha],"&gt;="&amp;'Configuración'!$C$6,tVinculos[Fecha],"&lt;="&amp;'Configuración'!$C$7)-SUMIFS(tVinculos[Importe],tVinculos[Vinculado a],H24,tVinculos[Tipo],"Devolución deuda",tVinculos[Fecha],"&gt;="&amp;'Configuración'!$C$6,tVinculos[Fecha],"&lt;="&amp;'Configuración'!$C$7))</f>
        <v/>
      </c>
    </row>
    <row r="25" ht="27.75" customHeight="1">
      <c r="A25" s="1"/>
      <c r="B25" s="5"/>
      <c r="C25" s="6"/>
      <c r="D25" s="6"/>
      <c r="E25" s="7"/>
      <c r="F25" s="9" t="str">
        <f>IF(B25="","",C25+SUMIFS(tMovimientos[Importe],tMovimientos[Destino],B25,tMovimientos[Fecha],"&gt;="&amp;'Configuración'!$C$6,tMovimientos[Fecha],"&lt;="&amp;'Configuración'!$C$7)-SUMIFS(tMovimientos[Importe],tMovimientos[Origen],B25,tMovimientos[Fecha],"&gt;="&amp;'Configuración'!$C$6,tMovimientos[Fecha],"&lt;="&amp;'Configuración'!$C$7))</f>
        <v/>
      </c>
      <c r="G25" s="1"/>
      <c r="H25" s="5"/>
      <c r="I25" s="5"/>
      <c r="J25" s="6"/>
      <c r="K25" s="9" t="str">
        <f>IF(H25="","",J25+SUMIFS(tVinculos[Importe],tVinculos[Vinculado a],H25,tVinculos[Tipo],"Préstamo recibido",tVinculos[Fecha],"&gt;="&amp;'Configuración'!$C$6,tVinculos[Fecha],"&lt;="&amp;'Configuración'!$C$7)-SUMIFS(tVinculos[Importe],tVinculos[Vinculado a],H25,tVinculos[Tipo],"Devolución deuda",tVinculos[Fecha],"&gt;="&amp;'Configuración'!$C$6,tVinculos[Fecha],"&lt;="&amp;'Configuración'!$C$7))</f>
        <v/>
      </c>
    </row>
    <row r="26" ht="27.75" customHeight="1">
      <c r="A26" s="1"/>
      <c r="B26" s="10"/>
      <c r="C26" s="13"/>
      <c r="D26" s="13"/>
      <c r="E26" s="11"/>
      <c r="F26" s="14" t="str">
        <f>IF(B26="","",C26+SUMIFS(tMovimientos[Importe],tMovimientos[Destino],B26,tMovimientos[Fecha],"&gt;="&amp;'Configuración'!$C$6,tMovimientos[Fecha],"&lt;="&amp;'Configuración'!$C$7)-SUMIFS(tMovimientos[Importe],tMovimientos[Origen],B26,tMovimientos[Fecha],"&gt;="&amp;'Configuración'!$C$6,tMovimientos[Fecha],"&lt;="&amp;'Configuración'!$C$7))</f>
        <v/>
      </c>
      <c r="G26" s="1"/>
      <c r="H26" s="10"/>
      <c r="I26" s="10"/>
      <c r="J26" s="13"/>
      <c r="K26" s="14" t="str">
        <f>IF(H26="","",J26+SUMIFS(tVinculos[Importe],tVinculos[Vinculado a],H26,tVinculos[Tipo],"Préstamo recibido",tVinculos[Fecha],"&gt;="&amp;'Configuración'!$C$6,tVinculos[Fecha],"&lt;="&amp;'Configuración'!$C$7)-SUMIFS(tVinculos[Importe],tVinculos[Vinculado a],H26,tVinculos[Tipo],"Devolución deuda",tVinculos[Fecha],"&gt;="&amp;'Configuración'!$C$6,tVinculos[Fecha],"&lt;="&amp;'Configuración'!$C$7))</f>
        <v/>
      </c>
    </row>
    <row r="27" ht="27.75" customHeight="1">
      <c r="A27" s="1"/>
      <c r="B27" s="5"/>
      <c r="C27" s="6"/>
      <c r="D27" s="6"/>
      <c r="E27" s="7"/>
      <c r="F27" s="9" t="str">
        <f>IF(B27="","",C27+SUMIFS(tMovimientos[Importe],tMovimientos[Destino],B27,tMovimientos[Fecha],"&gt;="&amp;'Configuración'!$C$6,tMovimientos[Fecha],"&lt;="&amp;'Configuración'!$C$7)-SUMIFS(tMovimientos[Importe],tMovimientos[Origen],B27,tMovimientos[Fecha],"&gt;="&amp;'Configuración'!$C$6,tMovimientos[Fecha],"&lt;="&amp;'Configuración'!$C$7))</f>
        <v/>
      </c>
      <c r="G27" s="1"/>
      <c r="H27" s="5"/>
      <c r="I27" s="5"/>
      <c r="J27" s="6"/>
      <c r="K27" s="9" t="str">
        <f>IF(H27="","",J27+SUMIFS(tVinculos[Importe],tVinculos[Vinculado a],H27,tVinculos[Tipo],"Préstamo recibido",tVinculos[Fecha],"&gt;="&amp;'Configuración'!$C$6,tVinculos[Fecha],"&lt;="&amp;'Configuración'!$C$7)-SUMIFS(tVinculos[Importe],tVinculos[Vinculado a],H27,tVinculos[Tipo],"Devolución deuda",tVinculos[Fecha],"&gt;="&amp;'Configuración'!$C$6,tVinculos[Fecha],"&lt;="&amp;'Configuración'!$C$7))</f>
        <v/>
      </c>
    </row>
    <row r="28" ht="27.75" customHeight="1">
      <c r="A28" s="1"/>
      <c r="B28" s="10"/>
      <c r="C28" s="13"/>
      <c r="D28" s="13"/>
      <c r="E28" s="11"/>
      <c r="F28" s="14" t="str">
        <f>IF(B28="","",C28+SUMIFS(tMovimientos[Importe],tMovimientos[Destino],B28,tMovimientos[Fecha],"&gt;="&amp;'Configuración'!$C$6,tMovimientos[Fecha],"&lt;="&amp;'Configuración'!$C$7)-SUMIFS(tMovimientos[Importe],tMovimientos[Origen],B28,tMovimientos[Fecha],"&gt;="&amp;'Configuración'!$C$6,tMovimientos[Fecha],"&lt;="&amp;'Configuración'!$C$7))</f>
        <v/>
      </c>
      <c r="G28" s="1"/>
      <c r="H28" s="10"/>
      <c r="I28" s="10"/>
      <c r="J28" s="13"/>
      <c r="K28" s="14" t="str">
        <f>IF(H28="","",J28+SUMIFS(tVinculos[Importe],tVinculos[Vinculado a],H28,tVinculos[Tipo],"Préstamo recibido",tVinculos[Fecha],"&gt;="&amp;'Configuración'!$C$6,tVinculos[Fecha],"&lt;="&amp;'Configuración'!$C$7)-SUMIFS(tVinculos[Importe],tVinculos[Vinculado a],H28,tVinculos[Tipo],"Devolución deuda",tVinculos[Fecha],"&gt;="&amp;'Configuración'!$C$6,tVinculos[Fecha],"&lt;="&amp;'Configuración'!$C$7))</f>
        <v/>
      </c>
    </row>
    <row r="29" ht="27.75" customHeight="1">
      <c r="A29" s="1"/>
      <c r="B29" s="10"/>
      <c r="C29" s="13"/>
      <c r="D29" s="13"/>
      <c r="E29" s="11"/>
      <c r="F29" s="14" t="str">
        <f>IF(B29="","",C29+SUMIFS(tMovimientos[Importe],tMovimientos[Destino],B29,tMovimientos[Fecha],"&gt;="&amp;'Configuración'!$C$6,tMovimientos[Fecha],"&lt;="&amp;'Configuración'!$C$7)-SUMIFS(tMovimientos[Importe],tMovimientos[Origen],B29,tMovimientos[Fecha],"&gt;="&amp;'Configuración'!$C$6,tMovimientos[Fecha],"&lt;="&amp;'Configuración'!$C$7))</f>
        <v/>
      </c>
      <c r="G29" s="1"/>
      <c r="H29" s="10"/>
      <c r="I29" s="10"/>
      <c r="J29" s="13"/>
      <c r="K29" s="14" t="str">
        <f>IF(H29="","",J29+SUMIFS(tVinculos[Importe],tVinculos[Vinculado a],H29,tVinculos[Tipo],"Préstamo recibido",tVinculos[Fecha],"&gt;="&amp;'Configuración'!$C$6,tVinculos[Fecha],"&lt;="&amp;'Configuración'!$C$7)-SUMIFS(tVinculos[Importe],tVinculos[Vinculado a],H29,tVinculos[Tipo],"Devolución deuda",tVinculos[Fecha],"&gt;="&amp;'Configuración'!$C$6,tVinculos[Fecha],"&lt;="&amp;'Configuración'!$C$7))</f>
        <v/>
      </c>
    </row>
    <row r="30" ht="27.75" customHeight="1">
      <c r="A30" s="1"/>
      <c r="B30" s="10"/>
      <c r="C30" s="13"/>
      <c r="D30" s="13"/>
      <c r="E30" s="11"/>
      <c r="F30" s="14" t="str">
        <f>IF(B30="","",C30+SUMIFS(tMovimientos[Importe],tMovimientos[Destino],B30,tMovimientos[Fecha],"&gt;="&amp;'Configuración'!$C$6,tMovimientos[Fecha],"&lt;="&amp;'Configuración'!$C$7)-SUMIFS(tMovimientos[Importe],tMovimientos[Origen],B30,tMovimientos[Fecha],"&gt;="&amp;'Configuración'!$C$6,tMovimientos[Fecha],"&lt;="&amp;'Configuración'!$C$7))</f>
        <v/>
      </c>
      <c r="G30" s="1"/>
      <c r="H30" s="10"/>
      <c r="I30" s="10"/>
      <c r="J30" s="13"/>
      <c r="K30" s="14" t="str">
        <f>IF(H30="","",J30+SUMIFS(tVinculos[Importe],tVinculos[Vinculado a],H30,tVinculos[Tipo],"Préstamo recibido",tVinculos[Fecha],"&gt;="&amp;'Configuración'!$C$6,tVinculos[Fecha],"&lt;="&amp;'Configuración'!$C$7)-SUMIFS(tVinculos[Importe],tVinculos[Vinculado a],H30,tVinculos[Tipo],"Devolución deuda",tVinculos[Fecha],"&gt;="&amp;'Configuración'!$C$6,tVinculos[Fecha],"&lt;="&amp;'Configuración'!$C$7))</f>
        <v/>
      </c>
    </row>
    <row r="31" ht="27.75" customHeight="1">
      <c r="A31" s="1"/>
      <c r="B31" s="10"/>
      <c r="C31" s="13"/>
      <c r="D31" s="13"/>
      <c r="E31" s="11"/>
      <c r="F31" s="14" t="str">
        <f>IF(B31="","",C31+SUMIFS(tMovimientos[Importe],tMovimientos[Destino],B31,tMovimientos[Fecha],"&gt;="&amp;'Configuración'!$C$6,tMovimientos[Fecha],"&lt;="&amp;'Configuración'!$C$7)-SUMIFS(tMovimientos[Importe],tMovimientos[Origen],B31,tMovimientos[Fecha],"&gt;="&amp;'Configuración'!$C$6,tMovimientos[Fecha],"&lt;="&amp;'Configuración'!$C$7))</f>
        <v/>
      </c>
      <c r="G31" s="1"/>
      <c r="H31" s="10"/>
      <c r="I31" s="10"/>
      <c r="J31" s="13"/>
      <c r="K31" s="14" t="str">
        <f>IF(H31="","",J31+SUMIFS(tVinculos[Importe],tVinculos[Vinculado a],H31,tVinculos[Tipo],"Préstamo recibido",tVinculos[Fecha],"&gt;="&amp;'Configuración'!$C$6,tVinculos[Fecha],"&lt;="&amp;'Configuración'!$C$7)-SUMIFS(tVinculos[Importe],tVinculos[Vinculado a],H31,tVinculos[Tipo],"Devolución deuda",tVinculos[Fecha],"&gt;="&amp;'Configuración'!$C$6,tVinculos[Fecha],"&lt;="&amp;'Configuración'!$C$7))</f>
        <v/>
      </c>
    </row>
    <row r="32" ht="27.75" customHeight="1">
      <c r="A32" s="1"/>
      <c r="B32" s="10"/>
      <c r="C32" s="13"/>
      <c r="D32" s="13"/>
      <c r="E32" s="11"/>
      <c r="F32" s="14" t="str">
        <f>IF(B32="","",C32+SUMIFS(tMovimientos[Importe],tMovimientos[Destino],B32,tMovimientos[Fecha],"&gt;="&amp;'Configuración'!$C$6,tMovimientos[Fecha],"&lt;="&amp;'Configuración'!$C$7)-SUMIFS(tMovimientos[Importe],tMovimientos[Origen],B32,tMovimientos[Fecha],"&gt;="&amp;'Configuración'!$C$6,tMovimientos[Fecha],"&lt;="&amp;'Configuración'!$C$7))</f>
        <v/>
      </c>
      <c r="G32" s="1"/>
      <c r="H32" s="10"/>
      <c r="I32" s="10"/>
      <c r="J32" s="13"/>
      <c r="K32" s="14" t="str">
        <f>IF(H32="","",J32+SUMIFS(tVinculos[Importe],tVinculos[Vinculado a],H32,tVinculos[Tipo],"Préstamo recibido",tVinculos[Fecha],"&gt;="&amp;'Configuración'!$C$6,tVinculos[Fecha],"&lt;="&amp;'Configuración'!$C$7)-SUMIFS(tVinculos[Importe],tVinculos[Vinculado a],H32,tVinculos[Tipo],"Devolución deuda",tVinculos[Fecha],"&gt;="&amp;'Configuración'!$C$6,tVinculos[Fecha],"&lt;="&amp;'Configuración'!$C$7))</f>
        <v/>
      </c>
    </row>
    <row r="33" ht="27.75" customHeight="1">
      <c r="A33" s="1"/>
      <c r="B33" s="10"/>
      <c r="C33" s="13"/>
      <c r="D33" s="13"/>
      <c r="E33" s="11"/>
      <c r="F33" s="14" t="str">
        <f>IF(B33="","",C33+SUMIFS(tMovimientos[Importe],tMovimientos[Destino],B33,tMovimientos[Fecha],"&gt;="&amp;'Configuración'!$C$6,tMovimientos[Fecha],"&lt;="&amp;'Configuración'!$C$7)-SUMIFS(tMovimientos[Importe],tMovimientos[Origen],B33,tMovimientos[Fecha],"&gt;="&amp;'Configuración'!$C$6,tMovimientos[Fecha],"&lt;="&amp;'Configuración'!$C$7))</f>
        <v/>
      </c>
      <c r="G33" s="1"/>
      <c r="H33" s="10"/>
      <c r="I33" s="10"/>
      <c r="J33" s="13"/>
      <c r="K33" s="14" t="str">
        <f>IF(H33="","",J33+SUMIFS(tVinculos[Importe],tVinculos[Vinculado a],H33,tVinculos[Tipo],"Préstamo recibido",tVinculos[Fecha],"&gt;="&amp;'Configuración'!$C$6,tVinculos[Fecha],"&lt;="&amp;'Configuración'!$C$7)-SUMIFS(tVinculos[Importe],tVinculos[Vinculado a],H33,tVinculos[Tipo],"Devolución deuda",tVinculos[Fecha],"&gt;="&amp;'Configuración'!$C$6,tVinculos[Fecha],"&lt;="&amp;'Configuración'!$C$7))</f>
        <v/>
      </c>
    </row>
    <row r="34" ht="27.75" customHeight="1">
      <c r="A34" s="1"/>
      <c r="B34" s="10"/>
      <c r="C34" s="13"/>
      <c r="D34" s="13"/>
      <c r="E34" s="11"/>
      <c r="F34" s="14" t="str">
        <f>IF(B34="","",C34+SUMIFS(tMovimientos[Importe],tMovimientos[Destino],B34,tMovimientos[Fecha],"&gt;="&amp;'Configuración'!$C$6,tMovimientos[Fecha],"&lt;="&amp;'Configuración'!$C$7)-SUMIFS(tMovimientos[Importe],tMovimientos[Origen],B34,tMovimientos[Fecha],"&gt;="&amp;'Configuración'!$C$6,tMovimientos[Fecha],"&lt;="&amp;'Configuración'!$C$7))</f>
        <v/>
      </c>
      <c r="G34" s="1"/>
      <c r="H34" s="10"/>
      <c r="I34" s="10"/>
      <c r="J34" s="13"/>
      <c r="K34" s="14" t="str">
        <f>IF(H34="","",J34+SUMIFS(tVinculos[Importe],tVinculos[Vinculado a],H34,tVinculos[Tipo],"Préstamo recibido",tVinculos[Fecha],"&gt;="&amp;'Configuración'!$C$6,tVinculos[Fecha],"&lt;="&amp;'Configuración'!$C$7)-SUMIFS(tVinculos[Importe],tVinculos[Vinculado a],H34,tVinculos[Tipo],"Devolución deuda",tVinculos[Fecha],"&gt;="&amp;'Configuración'!$C$6,tVinculos[Fecha],"&lt;="&amp;'Configuración'!$C$7))</f>
        <v/>
      </c>
    </row>
    <row r="35" ht="27.75" customHeight="1">
      <c r="A35" s="1"/>
      <c r="B35" s="10"/>
      <c r="C35" s="13"/>
      <c r="D35" s="13"/>
      <c r="E35" s="11"/>
      <c r="F35" s="14" t="str">
        <f>IF(B35="","",C35+SUMIFS(tMovimientos[Importe],tMovimientos[Destino],B35,tMovimientos[Fecha],"&gt;="&amp;'Configuración'!$C$6,tMovimientos[Fecha],"&lt;="&amp;'Configuración'!$C$7)-SUMIFS(tMovimientos[Importe],tMovimientos[Origen],B35,tMovimientos[Fecha],"&gt;="&amp;'Configuración'!$C$6,tMovimientos[Fecha],"&lt;="&amp;'Configuración'!$C$7))</f>
        <v/>
      </c>
      <c r="G35" s="1"/>
      <c r="H35" s="10"/>
      <c r="I35" s="10"/>
      <c r="J35" s="13"/>
      <c r="K35" s="14" t="str">
        <f>IF(H35="","",J35+SUMIFS(tVinculos[Importe],tVinculos[Vinculado a],H35,tVinculos[Tipo],"Préstamo recibido",tVinculos[Fecha],"&gt;="&amp;'Configuración'!$C$6,tVinculos[Fecha],"&lt;="&amp;'Configuración'!$C$7)-SUMIFS(tVinculos[Importe],tVinculos[Vinculado a],H35,tVinculos[Tipo],"Devolución deuda",tVinculos[Fecha],"&gt;="&amp;'Configuración'!$C$6,tVinculos[Fecha],"&lt;="&amp;'Configuración'!$C$7))</f>
        <v/>
      </c>
    </row>
    <row r="36" ht="27.75" customHeight="1">
      <c r="A36" s="1"/>
      <c r="B36" s="10"/>
      <c r="C36" s="13"/>
      <c r="D36" s="13"/>
      <c r="E36" s="11"/>
      <c r="F36" s="14" t="str">
        <f>IF(B36="","",C36+SUMIFS(tMovimientos[Importe],tMovimientos[Destino],B36,tMovimientos[Fecha],"&gt;="&amp;'Configuración'!$C$6,tMovimientos[Fecha],"&lt;="&amp;'Configuración'!$C$7)-SUMIFS(tMovimientos[Importe],tMovimientos[Origen],B36,tMovimientos[Fecha],"&gt;="&amp;'Configuración'!$C$6,tMovimientos[Fecha],"&lt;="&amp;'Configuración'!$C$7))</f>
        <v/>
      </c>
      <c r="G36" s="1"/>
      <c r="H36" s="10"/>
      <c r="I36" s="10"/>
      <c r="J36" s="13"/>
      <c r="K36" s="14" t="str">
        <f>IF(H36="","",J36+SUMIFS(tVinculos[Importe],tVinculos[Vinculado a],H36,tVinculos[Tipo],"Préstamo recibido",tVinculos[Fecha],"&gt;="&amp;'Configuración'!$C$6,tVinculos[Fecha],"&lt;="&amp;'Configuración'!$C$7)-SUMIFS(tVinculos[Importe],tVinculos[Vinculado a],H36,tVinculos[Tipo],"Devolución deuda",tVinculos[Fecha],"&gt;="&amp;'Configuración'!$C$6,tVinculos[Fecha],"&lt;="&amp;'Configuración'!$C$7))</f>
        <v/>
      </c>
    </row>
    <row r="37" ht="27.75" customHeight="1">
      <c r="A37" s="1"/>
      <c r="B37" s="10"/>
      <c r="C37" s="13"/>
      <c r="D37" s="13"/>
      <c r="E37" s="11"/>
      <c r="F37" s="14" t="str">
        <f>IF(B37="","",C37+SUMIFS(tMovimientos[Importe],tMovimientos[Destino],B37,tMovimientos[Fecha],"&gt;="&amp;'Configuración'!$C$6,tMovimientos[Fecha],"&lt;="&amp;'Configuración'!$C$7)-SUMIFS(tMovimientos[Importe],tMovimientos[Origen],B37,tMovimientos[Fecha],"&gt;="&amp;'Configuración'!$C$6,tMovimientos[Fecha],"&lt;="&amp;'Configuración'!$C$7))</f>
        <v/>
      </c>
      <c r="G37" s="1"/>
      <c r="H37" s="10"/>
      <c r="I37" s="10"/>
      <c r="J37" s="13"/>
      <c r="K37" s="14" t="str">
        <f>IF(H37="","",J37+SUMIFS(tVinculos[Importe],tVinculos[Vinculado a],H37,tVinculos[Tipo],"Préstamo recibido",tVinculos[Fecha],"&gt;="&amp;'Configuración'!$C$6,tVinculos[Fecha],"&lt;="&amp;'Configuración'!$C$7)-SUMIFS(tVinculos[Importe],tVinculos[Vinculado a],H37,tVinculos[Tipo],"Devolución deuda",tVinculos[Fecha],"&gt;="&amp;'Configuración'!$C$6,tVinculos[Fecha],"&lt;="&amp;'Configuración'!$C$7))</f>
        <v/>
      </c>
    </row>
    <row r="38" ht="27.75" customHeight="1">
      <c r="A38" s="1"/>
      <c r="B38" s="10"/>
      <c r="C38" s="13"/>
      <c r="D38" s="13"/>
      <c r="E38" s="11"/>
      <c r="F38" s="14" t="str">
        <f>IF(B38="","",C38+SUMIFS(tMovimientos[Importe],tMovimientos[Destino],B38,tMovimientos[Fecha],"&gt;="&amp;'Configuración'!$C$6,tMovimientos[Fecha],"&lt;="&amp;'Configuración'!$C$7)-SUMIFS(tMovimientos[Importe],tMovimientos[Origen],B38,tMovimientos[Fecha],"&gt;="&amp;'Configuración'!$C$6,tMovimientos[Fecha],"&lt;="&amp;'Configuración'!$C$7))</f>
        <v/>
      </c>
      <c r="G38" s="1"/>
      <c r="H38" s="10"/>
      <c r="I38" s="10"/>
      <c r="J38" s="13"/>
      <c r="K38" s="14" t="str">
        <f>IF(H38="","",J38+SUMIFS(tVinculos[Importe],tVinculos[Vinculado a],H38,tVinculos[Tipo],"Préstamo recibido",tVinculos[Fecha],"&gt;="&amp;'Configuración'!$C$6,tVinculos[Fecha],"&lt;="&amp;'Configuración'!$C$7)-SUMIFS(tVinculos[Importe],tVinculos[Vinculado a],H38,tVinculos[Tipo],"Devolución deuda",tVinculos[Fecha],"&gt;="&amp;'Configuración'!$C$6,tVinculos[Fecha],"&lt;="&amp;'Configuración'!$C$7))</f>
        <v/>
      </c>
    </row>
    <row r="39" ht="27.75" customHeight="1">
      <c r="A39" s="1"/>
      <c r="B39" s="10"/>
      <c r="C39" s="13"/>
      <c r="D39" s="13"/>
      <c r="E39" s="11"/>
      <c r="F39" s="14" t="str">
        <f>IF(B39="","",C39+SUMIFS(tMovimientos[Importe],tMovimientos[Destino],B39,tMovimientos[Fecha],"&gt;="&amp;'Configuración'!$C$6,tMovimientos[Fecha],"&lt;="&amp;'Configuración'!$C$7)-SUMIFS(tMovimientos[Importe],tMovimientos[Origen],B39,tMovimientos[Fecha],"&gt;="&amp;'Configuración'!$C$6,tMovimientos[Fecha],"&lt;="&amp;'Configuración'!$C$7))</f>
        <v/>
      </c>
      <c r="G39" s="1"/>
      <c r="H39" s="10"/>
      <c r="I39" s="10"/>
      <c r="J39" s="13"/>
      <c r="K39" s="14" t="str">
        <f>IF(H39="","",J39+SUMIFS(tVinculos[Importe],tVinculos[Vinculado a],H39,tVinculos[Tipo],"Préstamo recibido",tVinculos[Fecha],"&gt;="&amp;'Configuración'!$C$6,tVinculos[Fecha],"&lt;="&amp;'Configuración'!$C$7)-SUMIFS(tVinculos[Importe],tVinculos[Vinculado a],H39,tVinculos[Tipo],"Devolución deuda",tVinculos[Fecha],"&gt;="&amp;'Configuración'!$C$6,tVinculos[Fecha],"&lt;="&amp;'Configuración'!$C$7))</f>
        <v/>
      </c>
    </row>
    <row r="40" ht="27.75" customHeight="1">
      <c r="A40" s="1"/>
      <c r="B40" s="10"/>
      <c r="C40" s="13"/>
      <c r="D40" s="13"/>
      <c r="E40" s="11"/>
      <c r="F40" s="14" t="str">
        <f>IF(B40="","",C40+SUMIFS(tMovimientos[Importe],tMovimientos[Destino],B40,tMovimientos[Fecha],"&gt;="&amp;'Configuración'!$C$6,tMovimientos[Fecha],"&lt;="&amp;'Configuración'!$C$7)-SUMIFS(tMovimientos[Importe],tMovimientos[Origen],B40,tMovimientos[Fecha],"&gt;="&amp;'Configuración'!$C$6,tMovimientos[Fecha],"&lt;="&amp;'Configuración'!$C$7))</f>
        <v/>
      </c>
      <c r="G40" s="1"/>
      <c r="H40" s="10"/>
      <c r="I40" s="10"/>
      <c r="J40" s="13"/>
      <c r="K40" s="14" t="str">
        <f>IF(H40="","",J40+SUMIFS(tVinculos[Importe],tVinculos[Vinculado a],H40,tVinculos[Tipo],"Préstamo recibido",tVinculos[Fecha],"&gt;="&amp;'Configuración'!$C$6,tVinculos[Fecha],"&lt;="&amp;'Configuración'!$C$7)-SUMIFS(tVinculos[Importe],tVinculos[Vinculado a],H40,tVinculos[Tipo],"Devolución deuda",tVinculos[Fecha],"&gt;="&amp;'Configuración'!$C$6,tVinculos[Fecha],"&lt;="&amp;'Configuración'!$C$7))</f>
        <v/>
      </c>
    </row>
    <row r="41" ht="27.75" customHeight="1">
      <c r="A41" s="1"/>
      <c r="B41" s="10"/>
      <c r="C41" s="13"/>
      <c r="D41" s="13"/>
      <c r="E41" s="11"/>
      <c r="F41" s="14" t="str">
        <f>IF(B41="","",C41+SUMIFS(tMovimientos[Importe],tMovimientos[Destino],B41,tMovimientos[Fecha],"&gt;="&amp;'Configuración'!$C$6,tMovimientos[Fecha],"&lt;="&amp;'Configuración'!$C$7)-SUMIFS(tMovimientos[Importe],tMovimientos[Origen],B41,tMovimientos[Fecha],"&gt;="&amp;'Configuración'!$C$6,tMovimientos[Fecha],"&lt;="&amp;'Configuración'!$C$7))</f>
        <v/>
      </c>
      <c r="G41" s="1"/>
      <c r="H41" s="10"/>
      <c r="I41" s="10"/>
      <c r="J41" s="13"/>
      <c r="K41" s="14" t="str">
        <f>IF(H41="","",J41+SUMIFS(tVinculos[Importe],tVinculos[Vinculado a],H41,tVinculos[Tipo],"Préstamo recibido",tVinculos[Fecha],"&gt;="&amp;'Configuración'!$C$6,tVinculos[Fecha],"&lt;="&amp;'Configuración'!$C$7)-SUMIFS(tVinculos[Importe],tVinculos[Vinculado a],H41,tVinculos[Tipo],"Devolución deuda",tVinculos[Fecha],"&gt;="&amp;'Configuración'!$C$6,tVinculos[Fecha],"&lt;="&amp;'Configuración'!$C$7))</f>
        <v/>
      </c>
    </row>
    <row r="42" ht="27.75" customHeight="1">
      <c r="A42" s="1"/>
      <c r="B42" s="10"/>
      <c r="C42" s="13"/>
      <c r="D42" s="13"/>
      <c r="E42" s="11"/>
      <c r="F42" s="14" t="str">
        <f>IF(B42="","",C42+SUMIFS(tMovimientos[Importe],tMovimientos[Destino],B42,tMovimientos[Fecha],"&gt;="&amp;'Configuración'!$C$6,tMovimientos[Fecha],"&lt;="&amp;'Configuración'!$C$7)-SUMIFS(tMovimientos[Importe],tMovimientos[Origen],B42,tMovimientos[Fecha],"&gt;="&amp;'Configuración'!$C$6,tMovimientos[Fecha],"&lt;="&amp;'Configuración'!$C$7))</f>
        <v/>
      </c>
      <c r="G42" s="1"/>
      <c r="H42" s="10"/>
      <c r="I42" s="10"/>
      <c r="J42" s="13"/>
      <c r="K42" s="14" t="str">
        <f>IF(H42="","",J42+SUMIFS(tVinculos[Importe],tVinculos[Vinculado a],H42,tVinculos[Tipo],"Préstamo recibido",tVinculos[Fecha],"&gt;="&amp;'Configuración'!$C$6,tVinculos[Fecha],"&lt;="&amp;'Configuración'!$C$7)-SUMIFS(tVinculos[Importe],tVinculos[Vinculado a],H42,tVinculos[Tipo],"Devolución deuda",tVinculos[Fecha],"&gt;="&amp;'Configuración'!$C$6,tVinculos[Fecha],"&lt;="&amp;'Configuración'!$C$7))</f>
        <v/>
      </c>
    </row>
    <row r="43" ht="27.75" customHeight="1">
      <c r="A43" s="1"/>
      <c r="B43" s="10"/>
      <c r="C43" s="13"/>
      <c r="D43" s="13"/>
      <c r="E43" s="11"/>
      <c r="F43" s="14" t="str">
        <f>IF(B43="","",C43+SUMIFS(tMovimientos[Importe],tMovimientos[Destino],B43,tMovimientos[Fecha],"&gt;="&amp;'Configuración'!$C$6,tMovimientos[Fecha],"&lt;="&amp;'Configuración'!$C$7)-SUMIFS(tMovimientos[Importe],tMovimientos[Origen],B43,tMovimientos[Fecha],"&gt;="&amp;'Configuración'!$C$6,tMovimientos[Fecha],"&lt;="&amp;'Configuración'!$C$7))</f>
        <v/>
      </c>
      <c r="G43" s="1"/>
      <c r="H43" s="10"/>
      <c r="I43" s="10"/>
      <c r="J43" s="13"/>
      <c r="K43" s="14" t="str">
        <f>IF(H43="","",J43+SUMIFS(tVinculos[Importe],tVinculos[Vinculado a],H43,tVinculos[Tipo],"Préstamo recibido",tVinculos[Fecha],"&gt;="&amp;'Configuración'!$C$6,tVinculos[Fecha],"&lt;="&amp;'Configuración'!$C$7)-SUMIFS(tVinculos[Importe],tVinculos[Vinculado a],H43,tVinculos[Tipo],"Devolución deuda",tVinculos[Fecha],"&gt;="&amp;'Configuración'!$C$6,tVinculos[Fecha],"&lt;="&amp;'Configuración'!$C$7))</f>
        <v/>
      </c>
    </row>
    <row r="44" ht="27.75" customHeight="1">
      <c r="A44" s="1"/>
      <c r="B44" s="10"/>
      <c r="C44" s="13"/>
      <c r="D44" s="13"/>
      <c r="E44" s="11"/>
      <c r="F44" s="14" t="str">
        <f>IF(B44="","",C44+SUMIFS(tMovimientos[Importe],tMovimientos[Destino],B44,tMovimientos[Fecha],"&gt;="&amp;'Configuración'!$C$6,tMovimientos[Fecha],"&lt;="&amp;'Configuración'!$C$7)-SUMIFS(tMovimientos[Importe],tMovimientos[Origen],B44,tMovimientos[Fecha],"&gt;="&amp;'Configuración'!$C$6,tMovimientos[Fecha],"&lt;="&amp;'Configuración'!$C$7))</f>
        <v/>
      </c>
      <c r="G44" s="1"/>
      <c r="H44" s="10"/>
      <c r="I44" s="10"/>
      <c r="J44" s="13"/>
      <c r="K44" s="14" t="str">
        <f>IF(H44="","",J44+SUMIFS(tVinculos[Importe],tVinculos[Vinculado a],H44,tVinculos[Tipo],"Préstamo recibido",tVinculos[Fecha],"&gt;="&amp;'Configuración'!$C$6,tVinculos[Fecha],"&lt;="&amp;'Configuración'!$C$7)-SUMIFS(tVinculos[Importe],tVinculos[Vinculado a],H44,tVinculos[Tipo],"Devolución deuda",tVinculos[Fecha],"&gt;="&amp;'Configuración'!$C$6,tVinculos[Fecha],"&lt;="&amp;'Configuración'!$C$7))</f>
        <v/>
      </c>
    </row>
    <row r="45" ht="27.75" customHeight="1">
      <c r="A45" s="1"/>
      <c r="B45" s="10"/>
      <c r="C45" s="13"/>
      <c r="D45" s="13"/>
      <c r="E45" s="11"/>
      <c r="F45" s="14" t="str">
        <f>IF(B45="","",C45+SUMIFS(tMovimientos[Importe],tMovimientos[Destino],B45,tMovimientos[Fecha],"&gt;="&amp;'Configuración'!$C$6,tMovimientos[Fecha],"&lt;="&amp;'Configuración'!$C$7)-SUMIFS(tMovimientos[Importe],tMovimientos[Origen],B45,tMovimientos[Fecha],"&gt;="&amp;'Configuración'!$C$6,tMovimientos[Fecha],"&lt;="&amp;'Configuración'!$C$7))</f>
        <v/>
      </c>
      <c r="G45" s="1"/>
      <c r="H45" s="10"/>
      <c r="I45" s="10"/>
      <c r="J45" s="13"/>
      <c r="K45" s="14" t="str">
        <f>IF(H45="","",J45+SUMIFS(tVinculos[Importe],tVinculos[Vinculado a],H45,tVinculos[Tipo],"Préstamo recibido",tVinculos[Fecha],"&gt;="&amp;'Configuración'!$C$6,tVinculos[Fecha],"&lt;="&amp;'Configuración'!$C$7)-SUMIFS(tVinculos[Importe],tVinculos[Vinculado a],H45,tVinculos[Tipo],"Devolución deuda",tVinculos[Fecha],"&gt;="&amp;'Configuración'!$C$6,tVinculos[Fecha],"&lt;="&amp;'Configuración'!$C$7))</f>
        <v/>
      </c>
    </row>
    <row r="46" ht="27.75" customHeight="1">
      <c r="A46" s="1"/>
      <c r="B46" s="10"/>
      <c r="C46" s="13"/>
      <c r="D46" s="13"/>
      <c r="E46" s="11"/>
      <c r="F46" s="14" t="str">
        <f>IF(B46="","",C46+SUMIFS(tMovimientos[Importe],tMovimientos[Destino],B46,tMovimientos[Fecha],"&gt;="&amp;'Configuración'!$C$6,tMovimientos[Fecha],"&lt;="&amp;'Configuración'!$C$7)-SUMIFS(tMovimientos[Importe],tMovimientos[Origen],B46,tMovimientos[Fecha],"&gt;="&amp;'Configuración'!$C$6,tMovimientos[Fecha],"&lt;="&amp;'Configuración'!$C$7))</f>
        <v/>
      </c>
      <c r="G46" s="1"/>
      <c r="H46" s="10"/>
      <c r="I46" s="10"/>
      <c r="J46" s="13"/>
      <c r="K46" s="14" t="str">
        <f>IF(H46="","",J46+SUMIFS(tVinculos[Importe],tVinculos[Vinculado a],H46,tVinculos[Tipo],"Préstamo recibido",tVinculos[Fecha],"&gt;="&amp;'Configuración'!$C$6,tVinculos[Fecha],"&lt;="&amp;'Configuración'!$C$7)-SUMIFS(tVinculos[Importe],tVinculos[Vinculado a],H46,tVinculos[Tipo],"Devolución deuda",tVinculos[Fecha],"&gt;="&amp;'Configuración'!$C$6,tVinculos[Fecha],"&lt;="&amp;'Configuración'!$C$7))</f>
        <v/>
      </c>
    </row>
    <row r="47" ht="27.75" customHeight="1">
      <c r="A47" s="1"/>
      <c r="B47" s="10"/>
      <c r="C47" s="13"/>
      <c r="D47" s="13"/>
      <c r="E47" s="11"/>
      <c r="F47" s="14" t="str">
        <f>IF(B47="","",C47+SUMIFS(tMovimientos[Importe],tMovimientos[Destino],B47,tMovimientos[Fecha],"&gt;="&amp;'Configuración'!$C$6,tMovimientos[Fecha],"&lt;="&amp;'Configuración'!$C$7)-SUMIFS(tMovimientos[Importe],tMovimientos[Origen],B47,tMovimientos[Fecha],"&gt;="&amp;'Configuración'!$C$6,tMovimientos[Fecha],"&lt;="&amp;'Configuración'!$C$7))</f>
        <v/>
      </c>
      <c r="G47" s="1"/>
      <c r="H47" s="10"/>
      <c r="I47" s="10"/>
      <c r="J47" s="13"/>
      <c r="K47" s="14" t="str">
        <f>IF(H47="","",J47+SUMIFS(tVinculos[Importe],tVinculos[Vinculado a],H47,tVinculos[Tipo],"Préstamo recibido",tVinculos[Fecha],"&gt;="&amp;'Configuración'!$C$6,tVinculos[Fecha],"&lt;="&amp;'Configuración'!$C$7)-SUMIFS(tVinculos[Importe],tVinculos[Vinculado a],H47,tVinculos[Tipo],"Devolución deuda",tVinculos[Fecha],"&gt;="&amp;'Configuración'!$C$6,tVinculos[Fecha],"&lt;="&amp;'Configuración'!$C$7))</f>
        <v/>
      </c>
    </row>
    <row r="48" ht="27.75" customHeight="1">
      <c r="A48" s="1"/>
      <c r="B48" s="10"/>
      <c r="C48" s="13"/>
      <c r="D48" s="13"/>
      <c r="E48" s="11"/>
      <c r="F48" s="14" t="str">
        <f>IF(B48="","",C48+SUMIFS(tMovimientos[Importe],tMovimientos[Destino],B48,tMovimientos[Fecha],"&gt;="&amp;'Configuración'!$C$6,tMovimientos[Fecha],"&lt;="&amp;'Configuración'!$C$7)-SUMIFS(tMovimientos[Importe],tMovimientos[Origen],B48,tMovimientos[Fecha],"&gt;="&amp;'Configuración'!$C$6,tMovimientos[Fecha],"&lt;="&amp;'Configuración'!$C$7))</f>
        <v/>
      </c>
      <c r="G48" s="1"/>
      <c r="H48" s="10"/>
      <c r="I48" s="10"/>
      <c r="J48" s="13"/>
      <c r="K48" s="14" t="str">
        <f>IF(H48="","",J48+SUMIFS(tVinculos[Importe],tVinculos[Vinculado a],H48,tVinculos[Tipo],"Préstamo recibido",tVinculos[Fecha],"&gt;="&amp;'Configuración'!$C$6,tVinculos[Fecha],"&lt;="&amp;'Configuración'!$C$7)-SUMIFS(tVinculos[Importe],tVinculos[Vinculado a],H48,tVinculos[Tipo],"Devolución deuda",tVinculos[Fecha],"&gt;="&amp;'Configuración'!$C$6,tVinculos[Fecha],"&lt;="&amp;'Configuración'!$C$7))</f>
        <v/>
      </c>
    </row>
    <row r="49" ht="27.75" customHeight="1">
      <c r="A49" s="1"/>
      <c r="B49" s="10"/>
      <c r="C49" s="13"/>
      <c r="D49" s="13"/>
      <c r="E49" s="11"/>
      <c r="F49" s="14" t="str">
        <f>IF(B49="","",C49+SUMIFS(tMovimientos[Importe],tMovimientos[Destino],B49,tMovimientos[Fecha],"&gt;="&amp;'Configuración'!$C$6,tMovimientos[Fecha],"&lt;="&amp;'Configuración'!$C$7)-SUMIFS(tMovimientos[Importe],tMovimientos[Origen],B49,tMovimientos[Fecha],"&gt;="&amp;'Configuración'!$C$6,tMovimientos[Fecha],"&lt;="&amp;'Configuración'!$C$7))</f>
        <v/>
      </c>
      <c r="G49" s="1"/>
      <c r="H49" s="10"/>
      <c r="I49" s="10"/>
      <c r="J49" s="13"/>
      <c r="K49" s="14" t="str">
        <f>IF(H49="","",J49+SUMIFS(tVinculos[Importe],tVinculos[Vinculado a],H49,tVinculos[Tipo],"Préstamo recibido",tVinculos[Fecha],"&gt;="&amp;'Configuración'!$C$6,tVinculos[Fecha],"&lt;="&amp;'Configuración'!$C$7)-SUMIFS(tVinculos[Importe],tVinculos[Vinculado a],H49,tVinculos[Tipo],"Devolución deuda",tVinculos[Fecha],"&gt;="&amp;'Configuración'!$C$6,tVinculos[Fecha],"&lt;="&amp;'Configuración'!$C$7))</f>
        <v/>
      </c>
    </row>
    <row r="50" ht="27.75" customHeight="1">
      <c r="A50" s="1"/>
      <c r="B50" s="10"/>
      <c r="C50" s="13"/>
      <c r="D50" s="13"/>
      <c r="E50" s="11"/>
      <c r="F50" s="14" t="str">
        <f>IF(B50="","",C50+SUMIFS(tMovimientos[Importe],tMovimientos[Destino],B50,tMovimientos[Fecha],"&gt;="&amp;'Configuración'!$C$6,tMovimientos[Fecha],"&lt;="&amp;'Configuración'!$C$7)-SUMIFS(tMovimientos[Importe],tMovimientos[Origen],B50,tMovimientos[Fecha],"&gt;="&amp;'Configuración'!$C$6,tMovimientos[Fecha],"&lt;="&amp;'Configuración'!$C$7))</f>
        <v/>
      </c>
      <c r="G50" s="1"/>
      <c r="H50" s="10"/>
      <c r="I50" s="10"/>
      <c r="J50" s="13"/>
      <c r="K50" s="14" t="str">
        <f>IF(H50="","",J50+SUMIFS(tVinculos[Importe],tVinculos[Vinculado a],H50,tVinculos[Tipo],"Préstamo recibido",tVinculos[Fecha],"&gt;="&amp;'Configuración'!$C$6,tVinculos[Fecha],"&lt;="&amp;'Configuración'!$C$7)-SUMIFS(tVinculos[Importe],tVinculos[Vinculado a],H50,tVinculos[Tipo],"Devolución deuda",tVinculos[Fecha],"&gt;="&amp;'Configuración'!$C$6,tVinculos[Fecha],"&lt;="&amp;'Configuración'!$C$7))</f>
        <v/>
      </c>
    </row>
    <row r="51" ht="27.75" customHeight="1">
      <c r="A51" s="1"/>
      <c r="B51" s="10"/>
      <c r="C51" s="13"/>
      <c r="D51" s="13"/>
      <c r="E51" s="11"/>
      <c r="F51" s="14" t="str">
        <f>IF(B51="","",C51+SUMIFS(tMovimientos[Importe],tMovimientos[Destino],B51,tMovimientos[Fecha],"&gt;="&amp;'Configuración'!$C$6,tMovimientos[Fecha],"&lt;="&amp;'Configuración'!$C$7)-SUMIFS(tMovimientos[Importe],tMovimientos[Origen],B51,tMovimientos[Fecha],"&gt;="&amp;'Configuración'!$C$6,tMovimientos[Fecha],"&lt;="&amp;'Configuración'!$C$7))</f>
        <v/>
      </c>
      <c r="G51" s="1"/>
      <c r="H51" s="10"/>
      <c r="I51" s="10"/>
      <c r="J51" s="13"/>
      <c r="K51" s="14" t="str">
        <f>IF(H51="","",J51+SUMIFS(tVinculos[Importe],tVinculos[Vinculado a],H51,tVinculos[Tipo],"Préstamo recibido",tVinculos[Fecha],"&gt;="&amp;'Configuración'!$C$6,tVinculos[Fecha],"&lt;="&amp;'Configuración'!$C$7)-SUMIFS(tVinculos[Importe],tVinculos[Vinculado a],H51,tVinculos[Tipo],"Devolución deuda",tVinculos[Fecha],"&gt;="&amp;'Configuración'!$C$6,tVinculos[Fecha],"&lt;="&amp;'Configuración'!$C$7))</f>
        <v/>
      </c>
    </row>
    <row r="52" ht="27.75" customHeight="1">
      <c r="A52" s="1"/>
      <c r="B52" s="10"/>
      <c r="C52" s="13"/>
      <c r="D52" s="13"/>
      <c r="E52" s="11"/>
      <c r="F52" s="14" t="str">
        <f>IF(B52="","",C52+SUMIFS(tMovimientos[Importe],tMovimientos[Destino],B52,tMovimientos[Fecha],"&gt;="&amp;'Configuración'!$C$6,tMovimientos[Fecha],"&lt;="&amp;'Configuración'!$C$7)-SUMIFS(tMovimientos[Importe],tMovimientos[Origen],B52,tMovimientos[Fecha],"&gt;="&amp;'Configuración'!$C$6,tMovimientos[Fecha],"&lt;="&amp;'Configuración'!$C$7))</f>
        <v/>
      </c>
      <c r="G52" s="1"/>
      <c r="H52" s="10"/>
      <c r="I52" s="10"/>
      <c r="J52" s="13"/>
      <c r="K52" s="14" t="str">
        <f>IF(H52="","",J52+SUMIFS(tVinculos[Importe],tVinculos[Vinculado a],H52,tVinculos[Tipo],"Préstamo recibido",tVinculos[Fecha],"&gt;="&amp;'Configuración'!$C$6,tVinculos[Fecha],"&lt;="&amp;'Configuración'!$C$7)-SUMIFS(tVinculos[Importe],tVinculos[Vinculado a],H52,tVinculos[Tipo],"Devolución deuda",tVinculos[Fecha],"&gt;="&amp;'Configuración'!$C$6,tVinculos[Fecha],"&lt;="&amp;'Configuración'!$C$7))</f>
        <v/>
      </c>
    </row>
    <row r="53" ht="27.75" customHeight="1">
      <c r="A53" s="1"/>
      <c r="B53" s="10"/>
      <c r="C53" s="13"/>
      <c r="D53" s="13"/>
      <c r="E53" s="11"/>
      <c r="F53" s="14" t="str">
        <f>IF(B53="","",C53+SUMIFS(tMovimientos[Importe],tMovimientos[Destino],B53,tMovimientos[Fecha],"&gt;="&amp;'Configuración'!$C$6,tMovimientos[Fecha],"&lt;="&amp;'Configuración'!$C$7)-SUMIFS(tMovimientos[Importe],tMovimientos[Origen],B53,tMovimientos[Fecha],"&gt;="&amp;'Configuración'!$C$6,tMovimientos[Fecha],"&lt;="&amp;'Configuración'!$C$7))</f>
        <v/>
      </c>
      <c r="G53" s="1"/>
      <c r="H53" s="10"/>
      <c r="I53" s="10"/>
      <c r="J53" s="13"/>
      <c r="K53" s="14" t="str">
        <f>IF(H53="","",J53+SUMIFS(tVinculos[Importe],tVinculos[Vinculado a],H53,tVinculos[Tipo],"Préstamo recibido",tVinculos[Fecha],"&gt;="&amp;'Configuración'!$C$6,tVinculos[Fecha],"&lt;="&amp;'Configuración'!$C$7)-SUMIFS(tVinculos[Importe],tVinculos[Vinculado a],H53,tVinculos[Tipo],"Devolución deuda",tVinculos[Fecha],"&gt;="&amp;'Configuración'!$C$6,tVinculos[Fecha],"&lt;="&amp;'Configuración'!$C$7))</f>
        <v/>
      </c>
    </row>
    <row r="54" ht="27.75" customHeight="1">
      <c r="A54" s="1"/>
      <c r="B54" s="10"/>
      <c r="C54" s="13"/>
      <c r="D54" s="13"/>
      <c r="E54" s="11"/>
      <c r="F54" s="14" t="str">
        <f>IF(B54="","",C54+SUMIFS(tMovimientos[Importe],tMovimientos[Destino],B54,tMovimientos[Fecha],"&gt;="&amp;'Configuración'!$C$6,tMovimientos[Fecha],"&lt;="&amp;'Configuración'!$C$7)-SUMIFS(tMovimientos[Importe],tMovimientos[Origen],B54,tMovimientos[Fecha],"&gt;="&amp;'Configuración'!$C$6,tMovimientos[Fecha],"&lt;="&amp;'Configuración'!$C$7))</f>
        <v/>
      </c>
      <c r="G54" s="1"/>
      <c r="H54" s="10"/>
      <c r="I54" s="10"/>
      <c r="J54" s="13"/>
      <c r="K54" s="14" t="str">
        <f>IF(H54="","",J54+SUMIFS(tVinculos[Importe],tVinculos[Vinculado a],H54,tVinculos[Tipo],"Préstamo recibido",tVinculos[Fecha],"&gt;="&amp;'Configuración'!$C$6,tVinculos[Fecha],"&lt;="&amp;'Configuración'!$C$7)-SUMIFS(tVinculos[Importe],tVinculos[Vinculado a],H54,tVinculos[Tipo],"Devolución deuda",tVinculos[Fecha],"&gt;="&amp;'Configuración'!$C$6,tVinculos[Fecha],"&lt;="&amp;'Configuración'!$C$7))</f>
        <v/>
      </c>
    </row>
    <row r="55" ht="27.75" customHeight="1">
      <c r="A55" s="1"/>
      <c r="B55" s="10"/>
      <c r="C55" s="13"/>
      <c r="D55" s="13"/>
      <c r="E55" s="11"/>
      <c r="F55" s="14" t="str">
        <f>IF(B55="","",C55+SUMIFS(tMovimientos[Importe],tMovimientos[Destino],B55,tMovimientos[Fecha],"&gt;="&amp;'Configuración'!$C$6,tMovimientos[Fecha],"&lt;="&amp;'Configuración'!$C$7)-SUMIFS(tMovimientos[Importe],tMovimientos[Origen],B55,tMovimientos[Fecha],"&gt;="&amp;'Configuración'!$C$6,tMovimientos[Fecha],"&lt;="&amp;'Configuración'!$C$7))</f>
        <v/>
      </c>
      <c r="G55" s="1"/>
      <c r="H55" s="10"/>
      <c r="I55" s="10"/>
      <c r="J55" s="13"/>
      <c r="K55" s="14" t="str">
        <f>IF(H55="","",J55+SUMIFS(tVinculos[Importe],tVinculos[Vinculado a],H55,tVinculos[Tipo],"Préstamo recibido",tVinculos[Fecha],"&gt;="&amp;'Configuración'!$C$6,tVinculos[Fecha],"&lt;="&amp;'Configuración'!$C$7)-SUMIFS(tVinculos[Importe],tVinculos[Vinculado a],H55,tVinculos[Tipo],"Devolución deuda",tVinculos[Fecha],"&gt;="&amp;'Configuración'!$C$6,tVinculos[Fecha],"&lt;="&amp;'Configuración'!$C$7))</f>
        <v/>
      </c>
    </row>
    <row r="56" ht="27.75" customHeight="1">
      <c r="A56" s="1"/>
      <c r="B56" s="10"/>
      <c r="C56" s="13"/>
      <c r="D56" s="13"/>
      <c r="E56" s="11"/>
      <c r="F56" s="14" t="str">
        <f>IF(B56="","",C56+SUMIFS(tMovimientos[Importe],tMovimientos[Destino],B56,tMovimientos[Fecha],"&gt;="&amp;'Configuración'!$C$6,tMovimientos[Fecha],"&lt;="&amp;'Configuración'!$C$7)-SUMIFS(tMovimientos[Importe],tMovimientos[Origen],B56,tMovimientos[Fecha],"&gt;="&amp;'Configuración'!$C$6,tMovimientos[Fecha],"&lt;="&amp;'Configuración'!$C$7))</f>
        <v/>
      </c>
      <c r="G56" s="1"/>
      <c r="H56" s="10"/>
      <c r="I56" s="10"/>
      <c r="J56" s="13"/>
      <c r="K56" s="14" t="str">
        <f>IF(H56="","",J56+SUMIFS(tVinculos[Importe],tVinculos[Vinculado a],H56,tVinculos[Tipo],"Préstamo recibido",tVinculos[Fecha],"&gt;="&amp;'Configuración'!$C$6,tVinculos[Fecha],"&lt;="&amp;'Configuración'!$C$7)-SUMIFS(tVinculos[Importe],tVinculos[Vinculado a],H56,tVinculos[Tipo],"Devolución deuda",tVinculos[Fecha],"&gt;="&amp;'Configuración'!$C$6,tVinculos[Fecha],"&lt;="&amp;'Configuración'!$C$7))</f>
        <v/>
      </c>
    </row>
    <row r="57" ht="27.75" customHeight="1">
      <c r="A57" s="1"/>
      <c r="B57" s="10"/>
      <c r="C57" s="13"/>
      <c r="D57" s="13"/>
      <c r="E57" s="11"/>
      <c r="F57" s="14" t="str">
        <f>IF(B57="","",C57+SUMIFS(tMovimientos[Importe],tMovimientos[Destino],B57,tMovimientos[Fecha],"&gt;="&amp;'Configuración'!$C$6,tMovimientos[Fecha],"&lt;="&amp;'Configuración'!$C$7)-SUMIFS(tMovimientos[Importe],tMovimientos[Origen],B57,tMovimientos[Fecha],"&gt;="&amp;'Configuración'!$C$6,tMovimientos[Fecha],"&lt;="&amp;'Configuración'!$C$7))</f>
        <v/>
      </c>
      <c r="G57" s="1"/>
      <c r="H57" s="10"/>
      <c r="I57" s="10"/>
      <c r="J57" s="13"/>
      <c r="K57" s="14" t="str">
        <f>IF(H57="","",J57+SUMIFS(tVinculos[Importe],tVinculos[Vinculado a],H57,tVinculos[Tipo],"Préstamo recibido",tVinculos[Fecha],"&gt;="&amp;'Configuración'!$C$6,tVinculos[Fecha],"&lt;="&amp;'Configuración'!$C$7)-SUMIFS(tVinculos[Importe],tVinculos[Vinculado a],H57,tVinculos[Tipo],"Devolución deuda",tVinculos[Fecha],"&gt;="&amp;'Configuración'!$C$6,tVinculos[Fecha],"&lt;="&amp;'Configuración'!$C$7))</f>
        <v/>
      </c>
    </row>
    <row r="58" ht="27.75" customHeight="1">
      <c r="A58" s="1"/>
      <c r="B58" s="10"/>
      <c r="C58" s="13"/>
      <c r="D58" s="13"/>
      <c r="E58" s="11"/>
      <c r="F58" s="14" t="str">
        <f>IF(B58="","",C58+SUMIFS(tMovimientos[Importe],tMovimientos[Destino],B58,tMovimientos[Fecha],"&gt;="&amp;'Configuración'!$C$6,tMovimientos[Fecha],"&lt;="&amp;'Configuración'!$C$7)-SUMIFS(tMovimientos[Importe],tMovimientos[Origen],B58,tMovimientos[Fecha],"&gt;="&amp;'Configuración'!$C$6,tMovimientos[Fecha],"&lt;="&amp;'Configuración'!$C$7))</f>
        <v/>
      </c>
      <c r="G58" s="1"/>
      <c r="H58" s="10"/>
      <c r="I58" s="10"/>
      <c r="J58" s="13"/>
      <c r="K58" s="14" t="str">
        <f>IF(H58="","",J58+SUMIFS(tVinculos[Importe],tVinculos[Vinculado a],H58,tVinculos[Tipo],"Préstamo recibido",tVinculos[Fecha],"&gt;="&amp;'Configuración'!$C$6,tVinculos[Fecha],"&lt;="&amp;'Configuración'!$C$7)-SUMIFS(tVinculos[Importe],tVinculos[Vinculado a],H58,tVinculos[Tipo],"Devolución deuda",tVinculos[Fecha],"&gt;="&amp;'Configuración'!$C$6,tVinculos[Fecha],"&lt;="&amp;'Configuración'!$C$7))</f>
        <v/>
      </c>
    </row>
    <row r="59" ht="27.75" customHeight="1">
      <c r="A59" s="1"/>
      <c r="B59" s="10"/>
      <c r="C59" s="13"/>
      <c r="D59" s="13"/>
      <c r="E59" s="11"/>
      <c r="F59" s="14" t="str">
        <f>IF(B59="","",C59+SUMIFS(tMovimientos[Importe],tMovimientos[Destino],B59,tMovimientos[Fecha],"&gt;="&amp;'Configuración'!$C$6,tMovimientos[Fecha],"&lt;="&amp;'Configuración'!$C$7)-SUMIFS(tMovimientos[Importe],tMovimientos[Origen],B59,tMovimientos[Fecha],"&gt;="&amp;'Configuración'!$C$6,tMovimientos[Fecha],"&lt;="&amp;'Configuración'!$C$7))</f>
        <v/>
      </c>
      <c r="G59" s="1"/>
      <c r="H59" s="10"/>
      <c r="I59" s="10"/>
      <c r="J59" s="13"/>
      <c r="K59" s="14" t="str">
        <f>IF(H59="","",J59+SUMIFS(tVinculos[Importe],tVinculos[Vinculado a],H59,tVinculos[Tipo],"Préstamo recibido",tVinculos[Fecha],"&gt;="&amp;'Configuración'!$C$6,tVinculos[Fecha],"&lt;="&amp;'Configuración'!$C$7)-SUMIFS(tVinculos[Importe],tVinculos[Vinculado a],H59,tVinculos[Tipo],"Devolución deuda",tVinculos[Fecha],"&gt;="&amp;'Configuración'!$C$6,tVinculos[Fecha],"&lt;="&amp;'Configuración'!$C$7))</f>
        <v/>
      </c>
    </row>
    <row r="60" ht="27.75" customHeight="1">
      <c r="A60" s="1"/>
      <c r="B60" s="10"/>
      <c r="C60" s="13"/>
      <c r="D60" s="13"/>
      <c r="E60" s="11"/>
      <c r="F60" s="14" t="str">
        <f>IF(B60="","",C60+SUMIFS(tMovimientos[Importe],tMovimientos[Destino],B60,tMovimientos[Fecha],"&gt;="&amp;'Configuración'!$C$6,tMovimientos[Fecha],"&lt;="&amp;'Configuración'!$C$7)-SUMIFS(tMovimientos[Importe],tMovimientos[Origen],B60,tMovimientos[Fecha],"&gt;="&amp;'Configuración'!$C$6,tMovimientos[Fecha],"&lt;="&amp;'Configuración'!$C$7))</f>
        <v/>
      </c>
      <c r="G60" s="1"/>
      <c r="H60" s="10"/>
      <c r="I60" s="10"/>
      <c r="J60" s="13"/>
      <c r="K60" s="14" t="str">
        <f>IF(H60="","",J60+SUMIFS(tVinculos[Importe],tVinculos[Vinculado a],H60,tVinculos[Tipo],"Préstamo recibido",tVinculos[Fecha],"&gt;="&amp;'Configuración'!$C$6,tVinculos[Fecha],"&lt;="&amp;'Configuración'!$C$7)-SUMIFS(tVinculos[Importe],tVinculos[Vinculado a],H60,tVinculos[Tipo],"Devolución deuda",tVinculos[Fecha],"&gt;="&amp;'Configuración'!$C$6,tVinculos[Fecha],"&lt;="&amp;'Configuración'!$C$7))</f>
        <v/>
      </c>
    </row>
    <row r="61" ht="27.75" customHeight="1">
      <c r="A61" s="1"/>
      <c r="B61" s="10"/>
      <c r="C61" s="13"/>
      <c r="D61" s="13"/>
      <c r="E61" s="11"/>
      <c r="F61" s="14" t="str">
        <f>IF(B61="","",C61+SUMIFS(tMovimientos[Importe],tMovimientos[Destino],B61,tMovimientos[Fecha],"&gt;="&amp;'Configuración'!$C$6,tMovimientos[Fecha],"&lt;="&amp;'Configuración'!$C$7)-SUMIFS(tMovimientos[Importe],tMovimientos[Origen],B61,tMovimientos[Fecha],"&gt;="&amp;'Configuración'!$C$6,tMovimientos[Fecha],"&lt;="&amp;'Configuración'!$C$7))</f>
        <v/>
      </c>
      <c r="G61" s="1"/>
      <c r="H61" s="10"/>
      <c r="I61" s="10"/>
      <c r="J61" s="13"/>
      <c r="K61" s="14" t="str">
        <f>IF(H61="","",J61+SUMIFS(tVinculos[Importe],tVinculos[Vinculado a],H61,tVinculos[Tipo],"Préstamo recibido",tVinculos[Fecha],"&gt;="&amp;'Configuración'!$C$6,tVinculos[Fecha],"&lt;="&amp;'Configuración'!$C$7)-SUMIFS(tVinculos[Importe],tVinculos[Vinculado a],H61,tVinculos[Tipo],"Devolución deuda",tVinculos[Fecha],"&gt;="&amp;'Configuración'!$C$6,tVinculos[Fecha],"&lt;="&amp;'Configuración'!$C$7))</f>
        <v/>
      </c>
    </row>
    <row r="62" ht="27.75" customHeight="1">
      <c r="A62" s="1"/>
      <c r="B62" s="10"/>
      <c r="C62" s="13"/>
      <c r="D62" s="13"/>
      <c r="E62" s="11"/>
      <c r="F62" s="14" t="str">
        <f>IF(B62="","",C62+SUMIFS(tMovimientos[Importe],tMovimientos[Destino],B62,tMovimientos[Fecha],"&gt;="&amp;'Configuración'!$C$6,tMovimientos[Fecha],"&lt;="&amp;'Configuración'!$C$7)-SUMIFS(tMovimientos[Importe],tMovimientos[Origen],B62,tMovimientos[Fecha],"&gt;="&amp;'Configuración'!$C$6,tMovimientos[Fecha],"&lt;="&amp;'Configuración'!$C$7))</f>
        <v/>
      </c>
      <c r="G62" s="1"/>
      <c r="H62" s="10"/>
      <c r="I62" s="10"/>
      <c r="J62" s="13"/>
      <c r="K62" s="14" t="str">
        <f>IF(H62="","",J62+SUMIFS(tVinculos[Importe],tVinculos[Vinculado a],H62,tVinculos[Tipo],"Préstamo recibido",tVinculos[Fecha],"&gt;="&amp;'Configuración'!$C$6,tVinculos[Fecha],"&lt;="&amp;'Configuración'!$C$7)-SUMIFS(tVinculos[Importe],tVinculos[Vinculado a],H62,tVinculos[Tipo],"Devolución deuda",tVinculos[Fecha],"&gt;="&amp;'Configuración'!$C$6,tVinculos[Fecha],"&lt;="&amp;'Configuración'!$C$7))</f>
        <v/>
      </c>
    </row>
    <row r="63" ht="27.75" customHeight="1">
      <c r="A63" s="1"/>
      <c r="B63" s="10"/>
      <c r="C63" s="13"/>
      <c r="D63" s="13"/>
      <c r="E63" s="11"/>
      <c r="F63" s="14" t="str">
        <f>IF(B63="","",C63+SUMIFS(tMovimientos[Importe],tMovimientos[Destino],B63,tMovimientos[Fecha],"&gt;="&amp;'Configuración'!$C$6,tMovimientos[Fecha],"&lt;="&amp;'Configuración'!$C$7)-SUMIFS(tMovimientos[Importe],tMovimientos[Origen],B63,tMovimientos[Fecha],"&gt;="&amp;'Configuración'!$C$6,tMovimientos[Fecha],"&lt;="&amp;'Configuración'!$C$7))</f>
        <v/>
      </c>
      <c r="G63" s="1"/>
      <c r="H63" s="10"/>
      <c r="I63" s="10"/>
      <c r="J63" s="13"/>
      <c r="K63" s="14" t="str">
        <f>IF(H63="","",J63+SUMIFS(tVinculos[Importe],tVinculos[Vinculado a],H63,tVinculos[Tipo],"Préstamo recibido",tVinculos[Fecha],"&gt;="&amp;'Configuración'!$C$6,tVinculos[Fecha],"&lt;="&amp;'Configuración'!$C$7)-SUMIFS(tVinculos[Importe],tVinculos[Vinculado a],H63,tVinculos[Tipo],"Devolución deuda",tVinculos[Fecha],"&gt;="&amp;'Configuración'!$C$6,tVinculos[Fecha],"&lt;="&amp;'Configuración'!$C$7))</f>
        <v/>
      </c>
    </row>
    <row r="64" ht="27.75" customHeight="1">
      <c r="A64" s="1"/>
      <c r="B64" s="10"/>
      <c r="C64" s="13"/>
      <c r="D64" s="13"/>
      <c r="E64" s="11"/>
      <c r="F64" s="14" t="str">
        <f>IF(B64="","",C64+SUMIFS(tMovimientos[Importe],tMovimientos[Destino],B64,tMovimientos[Fecha],"&gt;="&amp;'Configuración'!$C$6,tMovimientos[Fecha],"&lt;="&amp;'Configuración'!$C$7)-SUMIFS(tMovimientos[Importe],tMovimientos[Origen],B64,tMovimientos[Fecha],"&gt;="&amp;'Configuración'!$C$6,tMovimientos[Fecha],"&lt;="&amp;'Configuración'!$C$7))</f>
        <v/>
      </c>
      <c r="G64" s="1"/>
      <c r="H64" s="10"/>
      <c r="I64" s="10"/>
      <c r="J64" s="13"/>
      <c r="K64" s="14" t="str">
        <f>IF(H64="","",J64+SUMIFS(tVinculos[Importe],tVinculos[Vinculado a],H64,tVinculos[Tipo],"Préstamo recibido",tVinculos[Fecha],"&gt;="&amp;'Configuración'!$C$6,tVinculos[Fecha],"&lt;="&amp;'Configuración'!$C$7)-SUMIFS(tVinculos[Importe],tVinculos[Vinculado a],H64,tVinculos[Tipo],"Devolución deuda",tVinculos[Fecha],"&gt;="&amp;'Configuración'!$C$6,tVinculos[Fecha],"&lt;="&amp;'Configuración'!$C$7))</f>
        <v/>
      </c>
    </row>
    <row r="65" ht="27.75" customHeight="1">
      <c r="A65" s="1"/>
      <c r="B65" s="10"/>
      <c r="C65" s="13"/>
      <c r="D65" s="13"/>
      <c r="E65" s="11"/>
      <c r="F65" s="14" t="str">
        <f>IF(B65="","",C65+SUMIFS(tMovimientos[Importe],tMovimientos[Destino],B65,tMovimientos[Fecha],"&gt;="&amp;'Configuración'!$C$6,tMovimientos[Fecha],"&lt;="&amp;'Configuración'!$C$7)-SUMIFS(tMovimientos[Importe],tMovimientos[Origen],B65,tMovimientos[Fecha],"&gt;="&amp;'Configuración'!$C$6,tMovimientos[Fecha],"&lt;="&amp;'Configuración'!$C$7))</f>
        <v/>
      </c>
      <c r="G65" s="1"/>
      <c r="H65" s="10"/>
      <c r="I65" s="10"/>
      <c r="J65" s="13"/>
      <c r="K65" s="14" t="str">
        <f>IF(H65="","",J65+SUMIFS(tVinculos[Importe],tVinculos[Vinculado a],H65,tVinculos[Tipo],"Préstamo recibido",tVinculos[Fecha],"&gt;="&amp;'Configuración'!$C$6,tVinculos[Fecha],"&lt;="&amp;'Configuración'!$C$7)-SUMIFS(tVinculos[Importe],tVinculos[Vinculado a],H65,tVinculos[Tipo],"Devolución deuda",tVinculos[Fecha],"&gt;="&amp;'Configuración'!$C$6,tVinculos[Fecha],"&lt;="&amp;'Configuración'!$C$7))</f>
        <v/>
      </c>
    </row>
    <row r="66" ht="27.75" customHeight="1">
      <c r="A66" s="1"/>
      <c r="B66" s="10"/>
      <c r="C66" s="13"/>
      <c r="D66" s="13"/>
      <c r="E66" s="11"/>
      <c r="F66" s="14" t="str">
        <f>IF(B66="","",C66+SUMIFS(tMovimientos[Importe],tMovimientos[Destino],B66,tMovimientos[Fecha],"&gt;="&amp;'Configuración'!$C$6,tMovimientos[Fecha],"&lt;="&amp;'Configuración'!$C$7)-SUMIFS(tMovimientos[Importe],tMovimientos[Origen],B66,tMovimientos[Fecha],"&gt;="&amp;'Configuración'!$C$6,tMovimientos[Fecha],"&lt;="&amp;'Configuración'!$C$7))</f>
        <v/>
      </c>
      <c r="G66" s="1"/>
      <c r="H66" s="10"/>
      <c r="I66" s="10"/>
      <c r="J66" s="13"/>
      <c r="K66" s="14" t="str">
        <f>IF(H66="","",J66+SUMIFS(tVinculos[Importe],tVinculos[Vinculado a],H66,tVinculos[Tipo],"Préstamo recibido",tVinculos[Fecha],"&gt;="&amp;'Configuración'!$C$6,tVinculos[Fecha],"&lt;="&amp;'Configuración'!$C$7)-SUMIFS(tVinculos[Importe],tVinculos[Vinculado a],H66,tVinculos[Tipo],"Devolución deuda",tVinculos[Fecha],"&gt;="&amp;'Configuración'!$C$6,tVinculos[Fecha],"&lt;="&amp;'Configuración'!$C$7))</f>
        <v/>
      </c>
    </row>
    <row r="67" ht="27.75" customHeight="1">
      <c r="A67" s="1"/>
      <c r="B67" s="10"/>
      <c r="C67" s="13"/>
      <c r="D67" s="13"/>
      <c r="E67" s="11"/>
      <c r="F67" s="14" t="str">
        <f>IF(B67="","",C67+SUMIFS(tMovimientos[Importe],tMovimientos[Destino],B67,tMovimientos[Fecha],"&gt;="&amp;'Configuración'!$C$6,tMovimientos[Fecha],"&lt;="&amp;'Configuración'!$C$7)-SUMIFS(tMovimientos[Importe],tMovimientos[Origen],B67,tMovimientos[Fecha],"&gt;="&amp;'Configuración'!$C$6,tMovimientos[Fecha],"&lt;="&amp;'Configuración'!$C$7))</f>
        <v/>
      </c>
      <c r="G67" s="1"/>
      <c r="H67" s="10"/>
      <c r="I67" s="10"/>
      <c r="J67" s="13"/>
      <c r="K67" s="14" t="str">
        <f>IF(H67="","",J67+SUMIFS(tVinculos[Importe],tVinculos[Vinculado a],H67,tVinculos[Tipo],"Préstamo recibido",tVinculos[Fecha],"&gt;="&amp;'Configuración'!$C$6,tVinculos[Fecha],"&lt;="&amp;'Configuración'!$C$7)-SUMIFS(tVinculos[Importe],tVinculos[Vinculado a],H67,tVinculos[Tipo],"Devolución deuda",tVinculos[Fecha],"&gt;="&amp;'Configuración'!$C$6,tVinculos[Fecha],"&lt;="&amp;'Configuración'!$C$7))</f>
        <v/>
      </c>
    </row>
    <row r="68" ht="27.75" customHeight="1">
      <c r="A68" s="1"/>
      <c r="B68" s="10"/>
      <c r="C68" s="13"/>
      <c r="D68" s="13"/>
      <c r="E68" s="11"/>
      <c r="F68" s="14" t="str">
        <f>IF(B68="","",C68+SUMIFS(tMovimientos[Importe],tMovimientos[Destino],B68,tMovimientos[Fecha],"&gt;="&amp;'Configuración'!$C$6,tMovimientos[Fecha],"&lt;="&amp;'Configuración'!$C$7)-SUMIFS(tMovimientos[Importe],tMovimientos[Origen],B68,tMovimientos[Fecha],"&gt;="&amp;'Configuración'!$C$6,tMovimientos[Fecha],"&lt;="&amp;'Configuración'!$C$7))</f>
        <v/>
      </c>
      <c r="G68" s="1"/>
      <c r="H68" s="10"/>
      <c r="I68" s="10"/>
      <c r="J68" s="13"/>
      <c r="K68" s="14" t="str">
        <f>IF(H68="","",J68+SUMIFS(tVinculos[Importe],tVinculos[Vinculado a],H68,tVinculos[Tipo],"Préstamo recibido",tVinculos[Fecha],"&gt;="&amp;'Configuración'!$C$6,tVinculos[Fecha],"&lt;="&amp;'Configuración'!$C$7)-SUMIFS(tVinculos[Importe],tVinculos[Vinculado a],H68,tVinculos[Tipo],"Devolución deuda",tVinculos[Fecha],"&gt;="&amp;'Configuración'!$C$6,tVinculos[Fecha],"&lt;="&amp;'Configuración'!$C$7))</f>
        <v/>
      </c>
    </row>
    <row r="69" ht="27.75" customHeight="1">
      <c r="A69" s="1"/>
      <c r="B69" s="10"/>
      <c r="C69" s="13"/>
      <c r="D69" s="13"/>
      <c r="E69" s="11"/>
      <c r="F69" s="14" t="str">
        <f>IF(B69="","",C69+SUMIFS(tMovimientos[Importe],tMovimientos[Destino],B69,tMovimientos[Fecha],"&gt;="&amp;'Configuración'!$C$6,tMovimientos[Fecha],"&lt;="&amp;'Configuración'!$C$7)-SUMIFS(tMovimientos[Importe],tMovimientos[Origen],B69,tMovimientos[Fecha],"&gt;="&amp;'Configuración'!$C$6,tMovimientos[Fecha],"&lt;="&amp;'Configuración'!$C$7))</f>
        <v/>
      </c>
      <c r="G69" s="1"/>
      <c r="H69" s="10"/>
      <c r="I69" s="10"/>
      <c r="J69" s="13"/>
      <c r="K69" s="14" t="str">
        <f>IF(H69="","",J69+SUMIFS(tVinculos[Importe],tVinculos[Vinculado a],H69,tVinculos[Tipo],"Préstamo recibido",tVinculos[Fecha],"&gt;="&amp;'Configuración'!$C$6,tVinculos[Fecha],"&lt;="&amp;'Configuración'!$C$7)-SUMIFS(tVinculos[Importe],tVinculos[Vinculado a],H69,tVinculos[Tipo],"Devolución deuda",tVinculos[Fecha],"&gt;="&amp;'Configuración'!$C$6,tVinculos[Fecha],"&lt;="&amp;'Configuración'!$C$7))</f>
        <v/>
      </c>
    </row>
    <row r="70" ht="27.75" customHeight="1">
      <c r="A70" s="1"/>
      <c r="B70" s="10"/>
      <c r="C70" s="13"/>
      <c r="D70" s="13"/>
      <c r="E70" s="11"/>
      <c r="F70" s="14" t="str">
        <f>IF(B70="","",C70+SUMIFS(tMovimientos[Importe],tMovimientos[Destino],B70,tMovimientos[Fecha],"&gt;="&amp;'Configuración'!$C$6,tMovimientos[Fecha],"&lt;="&amp;'Configuración'!$C$7)-SUMIFS(tMovimientos[Importe],tMovimientos[Origen],B70,tMovimientos[Fecha],"&gt;="&amp;'Configuración'!$C$6,tMovimientos[Fecha],"&lt;="&amp;'Configuración'!$C$7))</f>
        <v/>
      </c>
      <c r="G70" s="1"/>
      <c r="H70" s="10"/>
      <c r="I70" s="10"/>
      <c r="J70" s="13"/>
      <c r="K70" s="14" t="str">
        <f>IF(H70="","",J70+SUMIFS(tVinculos[Importe],tVinculos[Vinculado a],H70,tVinculos[Tipo],"Préstamo recibido",tVinculos[Fecha],"&gt;="&amp;'Configuración'!$C$6,tVinculos[Fecha],"&lt;="&amp;'Configuración'!$C$7)-SUMIFS(tVinculos[Importe],tVinculos[Vinculado a],H70,tVinculos[Tipo],"Devolución deuda",tVinculos[Fecha],"&gt;="&amp;'Configuración'!$C$6,tVinculos[Fecha],"&lt;="&amp;'Configuración'!$C$7))</f>
        <v/>
      </c>
    </row>
    <row r="71" ht="27.75" customHeight="1">
      <c r="A71" s="1"/>
      <c r="B71" s="10"/>
      <c r="C71" s="13"/>
      <c r="D71" s="13"/>
      <c r="E71" s="11"/>
      <c r="F71" s="14" t="str">
        <f>IF(B71="","",C71+SUMIFS(tMovimientos[Importe],tMovimientos[Destino],B71,tMovimientos[Fecha],"&gt;="&amp;'Configuración'!$C$6,tMovimientos[Fecha],"&lt;="&amp;'Configuración'!$C$7)-SUMIFS(tMovimientos[Importe],tMovimientos[Origen],B71,tMovimientos[Fecha],"&gt;="&amp;'Configuración'!$C$6,tMovimientos[Fecha],"&lt;="&amp;'Configuración'!$C$7))</f>
        <v/>
      </c>
      <c r="G71" s="1"/>
      <c r="H71" s="10"/>
      <c r="I71" s="10"/>
      <c r="J71" s="13"/>
      <c r="K71" s="14" t="str">
        <f>IF(H71="","",J71+SUMIFS(tVinculos[Importe],tVinculos[Vinculado a],H71,tVinculos[Tipo],"Préstamo recibido",tVinculos[Fecha],"&gt;="&amp;'Configuración'!$C$6,tVinculos[Fecha],"&lt;="&amp;'Configuración'!$C$7)-SUMIFS(tVinculos[Importe],tVinculos[Vinculado a],H71,tVinculos[Tipo],"Devolución deuda",tVinculos[Fecha],"&gt;="&amp;'Configuración'!$C$6,tVinculos[Fecha],"&lt;="&amp;'Configuración'!$C$7))</f>
        <v/>
      </c>
    </row>
    <row r="72" ht="27.75" customHeight="1">
      <c r="A72" s="1"/>
      <c r="B72" s="10"/>
      <c r="C72" s="13"/>
      <c r="D72" s="13"/>
      <c r="E72" s="11"/>
      <c r="F72" s="14" t="str">
        <f>IF(B72="","",C72+SUMIFS(tMovimientos[Importe],tMovimientos[Destino],B72,tMovimientos[Fecha],"&gt;="&amp;'Configuración'!$C$6,tMovimientos[Fecha],"&lt;="&amp;'Configuración'!$C$7)-SUMIFS(tMovimientos[Importe],tMovimientos[Origen],B72,tMovimientos[Fecha],"&gt;="&amp;'Configuración'!$C$6,tMovimientos[Fecha],"&lt;="&amp;'Configuración'!$C$7))</f>
        <v/>
      </c>
      <c r="G72" s="1"/>
      <c r="H72" s="10"/>
      <c r="I72" s="10"/>
      <c r="J72" s="13"/>
      <c r="K72" s="14" t="str">
        <f>IF(H72="","",J72+SUMIFS(tVinculos[Importe],tVinculos[Vinculado a],H72,tVinculos[Tipo],"Préstamo recibido",tVinculos[Fecha],"&gt;="&amp;'Configuración'!$C$6,tVinculos[Fecha],"&lt;="&amp;'Configuración'!$C$7)-SUMIFS(tVinculos[Importe],tVinculos[Vinculado a],H72,tVinculos[Tipo],"Devolución deuda",tVinculos[Fecha],"&gt;="&amp;'Configuración'!$C$6,tVinculos[Fecha],"&lt;="&amp;'Configuración'!$C$7))</f>
        <v/>
      </c>
    </row>
    <row r="73" ht="27.75" customHeight="1">
      <c r="A73" s="1"/>
      <c r="B73" s="10"/>
      <c r="C73" s="13"/>
      <c r="D73" s="13"/>
      <c r="E73" s="11"/>
      <c r="F73" s="14" t="str">
        <f>IF(B73="","",C73+SUMIFS(tMovimientos[Importe],tMovimientos[Destino],B73,tMovimientos[Fecha],"&gt;="&amp;'Configuración'!$C$6,tMovimientos[Fecha],"&lt;="&amp;'Configuración'!$C$7)-SUMIFS(tMovimientos[Importe],tMovimientos[Origen],B73,tMovimientos[Fecha],"&gt;="&amp;'Configuración'!$C$6,tMovimientos[Fecha],"&lt;="&amp;'Configuración'!$C$7))</f>
        <v/>
      </c>
      <c r="G73" s="1"/>
      <c r="H73" s="10"/>
      <c r="I73" s="10"/>
      <c r="J73" s="13"/>
      <c r="K73" s="14" t="str">
        <f>IF(H73="","",J73+SUMIFS(tVinculos[Importe],tVinculos[Vinculado a],H73,tVinculos[Tipo],"Préstamo recibido",tVinculos[Fecha],"&gt;="&amp;'Configuración'!$C$6,tVinculos[Fecha],"&lt;="&amp;'Configuración'!$C$7)-SUMIFS(tVinculos[Importe],tVinculos[Vinculado a],H73,tVinculos[Tipo],"Devolución deuda",tVinculos[Fecha],"&gt;="&amp;'Configuración'!$C$6,tVinculos[Fecha],"&lt;="&amp;'Configuración'!$C$7))</f>
        <v/>
      </c>
    </row>
    <row r="74" ht="27.75" customHeight="1">
      <c r="A74" s="1"/>
      <c r="B74" s="10"/>
      <c r="C74" s="13"/>
      <c r="D74" s="13"/>
      <c r="E74" s="11"/>
      <c r="F74" s="14" t="str">
        <f>IF(B74="","",C74+SUMIFS(tMovimientos[Importe],tMovimientos[Destino],B74,tMovimientos[Fecha],"&gt;="&amp;'Configuración'!$C$6,tMovimientos[Fecha],"&lt;="&amp;'Configuración'!$C$7)-SUMIFS(tMovimientos[Importe],tMovimientos[Origen],B74,tMovimientos[Fecha],"&gt;="&amp;'Configuración'!$C$6,tMovimientos[Fecha],"&lt;="&amp;'Configuración'!$C$7))</f>
        <v/>
      </c>
      <c r="G74" s="1"/>
      <c r="H74" s="10"/>
      <c r="I74" s="10"/>
      <c r="J74" s="13"/>
      <c r="K74" s="14" t="str">
        <f>IF(H74="","",J74+SUMIFS(tVinculos[Importe],tVinculos[Vinculado a],H74,tVinculos[Tipo],"Préstamo recibido",tVinculos[Fecha],"&gt;="&amp;'Configuración'!$C$6,tVinculos[Fecha],"&lt;="&amp;'Configuración'!$C$7)-SUMIFS(tVinculos[Importe],tVinculos[Vinculado a],H74,tVinculos[Tipo],"Devolución deuda",tVinculos[Fecha],"&gt;="&amp;'Configuración'!$C$6,tVinculos[Fecha],"&lt;="&amp;'Configuración'!$C$7))</f>
        <v/>
      </c>
    </row>
    <row r="75" ht="27.75" customHeight="1">
      <c r="A75" s="1"/>
      <c r="B75" s="10"/>
      <c r="C75" s="13"/>
      <c r="D75" s="13"/>
      <c r="E75" s="11"/>
      <c r="F75" s="14" t="str">
        <f>IF(B75="","",C75+SUMIFS(tMovimientos[Importe],tMovimientos[Destino],B75,tMovimientos[Fecha],"&gt;="&amp;'Configuración'!$C$6,tMovimientos[Fecha],"&lt;="&amp;'Configuración'!$C$7)-SUMIFS(tMovimientos[Importe],tMovimientos[Origen],B75,tMovimientos[Fecha],"&gt;="&amp;'Configuración'!$C$6,tMovimientos[Fecha],"&lt;="&amp;'Configuración'!$C$7))</f>
        <v/>
      </c>
      <c r="G75" s="1"/>
      <c r="H75" s="10"/>
      <c r="I75" s="10"/>
      <c r="J75" s="13"/>
      <c r="K75" s="14" t="str">
        <f>IF(H75="","",J75+SUMIFS(tVinculos[Importe],tVinculos[Vinculado a],H75,tVinculos[Tipo],"Préstamo recibido",tVinculos[Fecha],"&gt;="&amp;'Configuración'!$C$6,tVinculos[Fecha],"&lt;="&amp;'Configuración'!$C$7)-SUMIFS(tVinculos[Importe],tVinculos[Vinculado a],H75,tVinculos[Tipo],"Devolución deuda",tVinculos[Fecha],"&gt;="&amp;'Configuración'!$C$6,tVinculos[Fecha],"&lt;="&amp;'Configuración'!$C$7))</f>
        <v/>
      </c>
    </row>
    <row r="76" ht="27.75" customHeight="1">
      <c r="A76" s="1"/>
      <c r="B76" s="10"/>
      <c r="C76" s="13"/>
      <c r="D76" s="13"/>
      <c r="E76" s="11"/>
      <c r="F76" s="14" t="str">
        <f>IF(B76="","",C76+SUMIFS(tMovimientos[Importe],tMovimientos[Destino],B76,tMovimientos[Fecha],"&gt;="&amp;'Configuración'!$C$6,tMovimientos[Fecha],"&lt;="&amp;'Configuración'!$C$7)-SUMIFS(tMovimientos[Importe],tMovimientos[Origen],B76,tMovimientos[Fecha],"&gt;="&amp;'Configuración'!$C$6,tMovimientos[Fecha],"&lt;="&amp;'Configuración'!$C$7))</f>
        <v/>
      </c>
      <c r="G76" s="1"/>
      <c r="H76" s="10"/>
      <c r="I76" s="10"/>
      <c r="J76" s="13"/>
      <c r="K76" s="14" t="str">
        <f>IF(H76="","",J76+SUMIFS(tVinculos[Importe],tVinculos[Vinculado a],H76,tVinculos[Tipo],"Préstamo recibido",tVinculos[Fecha],"&gt;="&amp;'Configuración'!$C$6,tVinculos[Fecha],"&lt;="&amp;'Configuración'!$C$7)-SUMIFS(tVinculos[Importe],tVinculos[Vinculado a],H76,tVinculos[Tipo],"Devolución deuda",tVinculos[Fecha],"&gt;="&amp;'Configuración'!$C$6,tVinculos[Fecha],"&lt;="&amp;'Configuración'!$C$7))</f>
        <v/>
      </c>
    </row>
    <row r="77" ht="27.75" customHeight="1">
      <c r="A77" s="1"/>
      <c r="B77" s="10"/>
      <c r="C77" s="13"/>
      <c r="D77" s="13"/>
      <c r="E77" s="11"/>
      <c r="F77" s="14" t="str">
        <f>IF(B77="","",C77+SUMIFS(tMovimientos[Importe],tMovimientos[Destino],B77,tMovimientos[Fecha],"&gt;="&amp;'Configuración'!$C$6,tMovimientos[Fecha],"&lt;="&amp;'Configuración'!$C$7)-SUMIFS(tMovimientos[Importe],tMovimientos[Origen],B77,tMovimientos[Fecha],"&gt;="&amp;'Configuración'!$C$6,tMovimientos[Fecha],"&lt;="&amp;'Configuración'!$C$7))</f>
        <v/>
      </c>
      <c r="G77" s="1"/>
      <c r="H77" s="10"/>
      <c r="I77" s="10"/>
      <c r="J77" s="13"/>
      <c r="K77" s="14" t="str">
        <f>IF(H77="","",J77+SUMIFS(tVinculos[Importe],tVinculos[Vinculado a],H77,tVinculos[Tipo],"Préstamo recibido",tVinculos[Fecha],"&gt;="&amp;'Configuración'!$C$6,tVinculos[Fecha],"&lt;="&amp;'Configuración'!$C$7)-SUMIFS(tVinculos[Importe],tVinculos[Vinculado a],H77,tVinculos[Tipo],"Devolución deuda",tVinculos[Fecha],"&gt;="&amp;'Configuración'!$C$6,tVinculos[Fecha],"&lt;="&amp;'Configuración'!$C$7))</f>
        <v/>
      </c>
    </row>
    <row r="78" ht="27.75" customHeight="1">
      <c r="A78" s="1"/>
      <c r="B78" s="10"/>
      <c r="C78" s="13"/>
      <c r="D78" s="13"/>
      <c r="E78" s="11"/>
      <c r="F78" s="14" t="str">
        <f>IF(B78="","",C78+SUMIFS(tMovimientos[Importe],tMovimientos[Destino],B78,tMovimientos[Fecha],"&gt;="&amp;'Configuración'!$C$6,tMovimientos[Fecha],"&lt;="&amp;'Configuración'!$C$7)-SUMIFS(tMovimientos[Importe],tMovimientos[Origen],B78,tMovimientos[Fecha],"&gt;="&amp;'Configuración'!$C$6,tMovimientos[Fecha],"&lt;="&amp;'Configuración'!$C$7))</f>
        <v/>
      </c>
      <c r="G78" s="1"/>
      <c r="H78" s="10"/>
      <c r="I78" s="10"/>
      <c r="J78" s="13"/>
      <c r="K78" s="14" t="str">
        <f>IF(H78="","",J78+SUMIFS(tVinculos[Importe],tVinculos[Vinculado a],H78,tVinculos[Tipo],"Préstamo recibido",tVinculos[Fecha],"&gt;="&amp;'Configuración'!$C$6,tVinculos[Fecha],"&lt;="&amp;'Configuración'!$C$7)-SUMIFS(tVinculos[Importe],tVinculos[Vinculado a],H78,tVinculos[Tipo],"Devolución deuda",tVinculos[Fecha],"&gt;="&amp;'Configuración'!$C$6,tVinculos[Fecha],"&lt;="&amp;'Configuración'!$C$7))</f>
        <v/>
      </c>
    </row>
    <row r="79" ht="27.75" customHeight="1">
      <c r="A79" s="1"/>
      <c r="B79" s="10"/>
      <c r="C79" s="13"/>
      <c r="D79" s="13"/>
      <c r="E79" s="11"/>
      <c r="F79" s="14" t="str">
        <f>IF(B79="","",C79+SUMIFS(tMovimientos[Importe],tMovimientos[Destino],B79,tMovimientos[Fecha],"&gt;="&amp;'Configuración'!$C$6,tMovimientos[Fecha],"&lt;="&amp;'Configuración'!$C$7)-SUMIFS(tMovimientos[Importe],tMovimientos[Origen],B79,tMovimientos[Fecha],"&gt;="&amp;'Configuración'!$C$6,tMovimientos[Fecha],"&lt;="&amp;'Configuración'!$C$7))</f>
        <v/>
      </c>
      <c r="G79" s="1"/>
      <c r="H79" s="10"/>
      <c r="I79" s="10"/>
      <c r="J79" s="13"/>
      <c r="K79" s="14" t="str">
        <f>IF(H79="","",J79+SUMIFS(tVinculos[Importe],tVinculos[Vinculado a],H79,tVinculos[Tipo],"Préstamo recibido",tVinculos[Fecha],"&gt;="&amp;'Configuración'!$C$6,tVinculos[Fecha],"&lt;="&amp;'Configuración'!$C$7)-SUMIFS(tVinculos[Importe],tVinculos[Vinculado a],H79,tVinculos[Tipo],"Devolución deuda",tVinculos[Fecha],"&gt;="&amp;'Configuración'!$C$6,tVinculos[Fecha],"&lt;="&amp;'Configuración'!$C$7))</f>
        <v/>
      </c>
    </row>
    <row r="80" ht="27.75" customHeight="1">
      <c r="A80" s="1"/>
      <c r="B80" s="10"/>
      <c r="C80" s="13"/>
      <c r="D80" s="13"/>
      <c r="E80" s="11"/>
      <c r="F80" s="14" t="str">
        <f>IF(B80="","",C80+SUMIFS(tMovimientos[Importe],tMovimientos[Destino],B80,tMovimientos[Fecha],"&gt;="&amp;'Configuración'!$C$6,tMovimientos[Fecha],"&lt;="&amp;'Configuración'!$C$7)-SUMIFS(tMovimientos[Importe],tMovimientos[Origen],B80,tMovimientos[Fecha],"&gt;="&amp;'Configuración'!$C$6,tMovimientos[Fecha],"&lt;="&amp;'Configuración'!$C$7))</f>
        <v/>
      </c>
      <c r="G80" s="1"/>
      <c r="H80" s="10"/>
      <c r="I80" s="10"/>
      <c r="J80" s="13"/>
      <c r="K80" s="14" t="str">
        <f>IF(H80="","",J80+SUMIFS(tVinculos[Importe],tVinculos[Vinculado a],H80,tVinculos[Tipo],"Préstamo recibido",tVinculos[Fecha],"&gt;="&amp;'Configuración'!$C$6,tVinculos[Fecha],"&lt;="&amp;'Configuración'!$C$7)-SUMIFS(tVinculos[Importe],tVinculos[Vinculado a],H80,tVinculos[Tipo],"Devolución deuda",tVinculos[Fecha],"&gt;="&amp;'Configuración'!$C$6,tVinculos[Fecha],"&lt;="&amp;'Configuración'!$C$7))</f>
        <v/>
      </c>
    </row>
    <row r="81" ht="27.75" customHeight="1">
      <c r="A81" s="1"/>
      <c r="B81" s="10"/>
      <c r="C81" s="13"/>
      <c r="D81" s="13"/>
      <c r="E81" s="11"/>
      <c r="F81" s="14" t="str">
        <f>IF(B81="","",C81+SUMIFS(tMovimientos[Importe],tMovimientos[Destino],B81,tMovimientos[Fecha],"&gt;="&amp;'Configuración'!$C$6,tMovimientos[Fecha],"&lt;="&amp;'Configuración'!$C$7)-SUMIFS(tMovimientos[Importe],tMovimientos[Origen],B81,tMovimientos[Fecha],"&gt;="&amp;'Configuración'!$C$6,tMovimientos[Fecha],"&lt;="&amp;'Configuración'!$C$7))</f>
        <v/>
      </c>
      <c r="G81" s="1"/>
      <c r="H81" s="10"/>
      <c r="I81" s="10"/>
      <c r="J81" s="13"/>
      <c r="K81" s="14" t="str">
        <f>IF(H81="","",J81+SUMIFS(tVinculos[Importe],tVinculos[Vinculado a],H81,tVinculos[Tipo],"Préstamo recibido",tVinculos[Fecha],"&gt;="&amp;'Configuración'!$C$6,tVinculos[Fecha],"&lt;="&amp;'Configuración'!$C$7)-SUMIFS(tVinculos[Importe],tVinculos[Vinculado a],H81,tVinculos[Tipo],"Devolución deuda",tVinculos[Fecha],"&gt;="&amp;'Configuración'!$C$6,tVinculos[Fecha],"&lt;="&amp;'Configuración'!$C$7))</f>
        <v/>
      </c>
    </row>
    <row r="82" ht="27.75" customHeight="1">
      <c r="A82" s="1"/>
      <c r="B82" s="10"/>
      <c r="C82" s="13"/>
      <c r="D82" s="13"/>
      <c r="E82" s="11"/>
      <c r="F82" s="14" t="str">
        <f>IF(B82="","",C82+SUMIFS(tMovimientos[Importe],tMovimientos[Destino],B82,tMovimientos[Fecha],"&gt;="&amp;'Configuración'!$C$6,tMovimientos[Fecha],"&lt;="&amp;'Configuración'!$C$7)-SUMIFS(tMovimientos[Importe],tMovimientos[Origen],B82,tMovimientos[Fecha],"&gt;="&amp;'Configuración'!$C$6,tMovimientos[Fecha],"&lt;="&amp;'Configuración'!$C$7))</f>
        <v/>
      </c>
      <c r="G82" s="1"/>
      <c r="H82" s="10"/>
      <c r="I82" s="10"/>
      <c r="J82" s="13"/>
      <c r="K82" s="14" t="str">
        <f>IF(H82="","",J82+SUMIFS(tVinculos[Importe],tVinculos[Vinculado a],H82,tVinculos[Tipo],"Préstamo recibido",tVinculos[Fecha],"&gt;="&amp;'Configuración'!$C$6,tVinculos[Fecha],"&lt;="&amp;'Configuración'!$C$7)-SUMIFS(tVinculos[Importe],tVinculos[Vinculado a],H82,tVinculos[Tipo],"Devolución deuda",tVinculos[Fecha],"&gt;="&amp;'Configuración'!$C$6,tVinculos[Fecha],"&lt;="&amp;'Configuración'!$C$7))</f>
        <v/>
      </c>
    </row>
    <row r="83" ht="27.75" customHeight="1">
      <c r="A83" s="1"/>
      <c r="B83" s="10"/>
      <c r="C83" s="13"/>
      <c r="D83" s="13"/>
      <c r="E83" s="11"/>
      <c r="F83" s="14" t="str">
        <f>IF(B83="","",C83+SUMIFS(tMovimientos[Importe],tMovimientos[Destino],B83,tMovimientos[Fecha],"&gt;="&amp;'Configuración'!$C$6,tMovimientos[Fecha],"&lt;="&amp;'Configuración'!$C$7)-SUMIFS(tMovimientos[Importe],tMovimientos[Origen],B83,tMovimientos[Fecha],"&gt;="&amp;'Configuración'!$C$6,tMovimientos[Fecha],"&lt;="&amp;'Configuración'!$C$7))</f>
        <v/>
      </c>
      <c r="G83" s="1"/>
      <c r="H83" s="10"/>
      <c r="I83" s="10"/>
      <c r="J83" s="13"/>
      <c r="K83" s="14" t="str">
        <f>IF(H83="","",J83+SUMIFS(tVinculos[Importe],tVinculos[Vinculado a],H83,tVinculos[Tipo],"Préstamo recibido",tVinculos[Fecha],"&gt;="&amp;'Configuración'!$C$6,tVinculos[Fecha],"&lt;="&amp;'Configuración'!$C$7)-SUMIFS(tVinculos[Importe],tVinculos[Vinculado a],H83,tVinculos[Tipo],"Devolución deuda",tVinculos[Fecha],"&gt;="&amp;'Configuración'!$C$6,tVinculos[Fecha],"&lt;="&amp;'Configuración'!$C$7))</f>
        <v/>
      </c>
    </row>
    <row r="84" ht="27.75" customHeight="1">
      <c r="A84" s="1"/>
      <c r="B84" s="10"/>
      <c r="C84" s="13"/>
      <c r="D84" s="13"/>
      <c r="E84" s="11"/>
      <c r="F84" s="14" t="str">
        <f>IF(B84="","",C84+SUMIFS(tMovimientos[Importe],tMovimientos[Destino],B84,tMovimientos[Fecha],"&gt;="&amp;'Configuración'!$C$6,tMovimientos[Fecha],"&lt;="&amp;'Configuración'!$C$7)-SUMIFS(tMovimientos[Importe],tMovimientos[Origen],B84,tMovimientos[Fecha],"&gt;="&amp;'Configuración'!$C$6,tMovimientos[Fecha],"&lt;="&amp;'Configuración'!$C$7))</f>
        <v/>
      </c>
      <c r="G84" s="1"/>
      <c r="H84" s="10"/>
      <c r="I84" s="10"/>
      <c r="J84" s="13"/>
      <c r="K84" s="14" t="str">
        <f>IF(H84="","",J84+SUMIFS(tVinculos[Importe],tVinculos[Vinculado a],H84,tVinculos[Tipo],"Préstamo recibido",tVinculos[Fecha],"&gt;="&amp;'Configuración'!$C$6,tVinculos[Fecha],"&lt;="&amp;'Configuración'!$C$7)-SUMIFS(tVinculos[Importe],tVinculos[Vinculado a],H84,tVinculos[Tipo],"Devolución deuda",tVinculos[Fecha],"&gt;="&amp;'Configuración'!$C$6,tVinculos[Fecha],"&lt;="&amp;'Configuración'!$C$7))</f>
        <v/>
      </c>
    </row>
    <row r="85" ht="27.75" customHeight="1">
      <c r="A85" s="1"/>
      <c r="B85" s="10"/>
      <c r="C85" s="13"/>
      <c r="D85" s="13"/>
      <c r="E85" s="11"/>
      <c r="F85" s="14" t="str">
        <f>IF(B85="","",C85+SUMIFS(tMovimientos[Importe],tMovimientos[Destino],B85,tMovimientos[Fecha],"&gt;="&amp;'Configuración'!$C$6,tMovimientos[Fecha],"&lt;="&amp;'Configuración'!$C$7)-SUMIFS(tMovimientos[Importe],tMovimientos[Origen],B85,tMovimientos[Fecha],"&gt;="&amp;'Configuración'!$C$6,tMovimientos[Fecha],"&lt;="&amp;'Configuración'!$C$7))</f>
        <v/>
      </c>
      <c r="G85" s="1"/>
      <c r="H85" s="10"/>
      <c r="I85" s="10"/>
      <c r="J85" s="13"/>
      <c r="K85" s="14" t="str">
        <f>IF(H85="","",J85+SUMIFS(tVinculos[Importe],tVinculos[Vinculado a],H85,tVinculos[Tipo],"Préstamo recibido",tVinculos[Fecha],"&gt;="&amp;'Configuración'!$C$6,tVinculos[Fecha],"&lt;="&amp;'Configuración'!$C$7)-SUMIFS(tVinculos[Importe],tVinculos[Vinculado a],H85,tVinculos[Tipo],"Devolución deuda",tVinculos[Fecha],"&gt;="&amp;'Configuración'!$C$6,tVinculos[Fecha],"&lt;="&amp;'Configuración'!$C$7))</f>
        <v/>
      </c>
    </row>
    <row r="86" ht="27.75" customHeight="1">
      <c r="A86" s="1"/>
      <c r="B86" s="10"/>
      <c r="C86" s="13"/>
      <c r="D86" s="13"/>
      <c r="E86" s="11"/>
      <c r="F86" s="14" t="str">
        <f>IF(B86="","",C86+SUMIFS(tMovimientos[Importe],tMovimientos[Destino],B86,tMovimientos[Fecha],"&gt;="&amp;'Configuración'!$C$6,tMovimientos[Fecha],"&lt;="&amp;'Configuración'!$C$7)-SUMIFS(tMovimientos[Importe],tMovimientos[Origen],B86,tMovimientos[Fecha],"&gt;="&amp;'Configuración'!$C$6,tMovimientos[Fecha],"&lt;="&amp;'Configuración'!$C$7))</f>
        <v/>
      </c>
      <c r="G86" s="1"/>
      <c r="H86" s="10"/>
      <c r="I86" s="10"/>
      <c r="J86" s="13"/>
      <c r="K86" s="14" t="str">
        <f>IF(H86="","",J86+SUMIFS(tVinculos[Importe],tVinculos[Vinculado a],H86,tVinculos[Tipo],"Préstamo recibido",tVinculos[Fecha],"&gt;="&amp;'Configuración'!$C$6,tVinculos[Fecha],"&lt;="&amp;'Configuración'!$C$7)-SUMIFS(tVinculos[Importe],tVinculos[Vinculado a],H86,tVinculos[Tipo],"Devolución deuda",tVinculos[Fecha],"&gt;="&amp;'Configuración'!$C$6,tVinculos[Fecha],"&lt;="&amp;'Configuración'!$C$7))</f>
        <v/>
      </c>
    </row>
    <row r="87" ht="27.75" customHeight="1">
      <c r="A87" s="1"/>
      <c r="B87" s="10"/>
      <c r="C87" s="13"/>
      <c r="D87" s="13"/>
      <c r="E87" s="11"/>
      <c r="F87" s="14" t="str">
        <f>IF(B87="","",C87+SUMIFS(tMovimientos[Importe],tMovimientos[Destino],B87,tMovimientos[Fecha],"&gt;="&amp;'Configuración'!$C$6,tMovimientos[Fecha],"&lt;="&amp;'Configuración'!$C$7)-SUMIFS(tMovimientos[Importe],tMovimientos[Origen],B87,tMovimientos[Fecha],"&gt;="&amp;'Configuración'!$C$6,tMovimientos[Fecha],"&lt;="&amp;'Configuración'!$C$7))</f>
        <v/>
      </c>
      <c r="G87" s="1"/>
      <c r="H87" s="10"/>
      <c r="I87" s="10"/>
      <c r="J87" s="13"/>
      <c r="K87" s="14" t="str">
        <f>IF(H87="","",J87+SUMIFS(tVinculos[Importe],tVinculos[Vinculado a],H87,tVinculos[Tipo],"Préstamo recibido",tVinculos[Fecha],"&gt;="&amp;'Configuración'!$C$6,tVinculos[Fecha],"&lt;="&amp;'Configuración'!$C$7)-SUMIFS(tVinculos[Importe],tVinculos[Vinculado a],H87,tVinculos[Tipo],"Devolución deuda",tVinculos[Fecha],"&gt;="&amp;'Configuración'!$C$6,tVinculos[Fecha],"&lt;="&amp;'Configuración'!$C$7))</f>
        <v/>
      </c>
    </row>
    <row r="88" ht="27.75" customHeight="1">
      <c r="A88" s="1"/>
      <c r="B88" s="10"/>
      <c r="C88" s="13"/>
      <c r="D88" s="13"/>
      <c r="E88" s="11"/>
      <c r="F88" s="14" t="str">
        <f>IF(B88="","",C88+SUMIFS(tMovimientos[Importe],tMovimientos[Destino],B88,tMovimientos[Fecha],"&gt;="&amp;'Configuración'!$C$6,tMovimientos[Fecha],"&lt;="&amp;'Configuración'!$C$7)-SUMIFS(tMovimientos[Importe],tMovimientos[Origen],B88,tMovimientos[Fecha],"&gt;="&amp;'Configuración'!$C$6,tMovimientos[Fecha],"&lt;="&amp;'Configuración'!$C$7))</f>
        <v/>
      </c>
      <c r="G88" s="1"/>
      <c r="H88" s="10"/>
      <c r="I88" s="10"/>
      <c r="J88" s="13"/>
      <c r="K88" s="14" t="str">
        <f>IF(H88="","",J88+SUMIFS(tVinculos[Importe],tVinculos[Vinculado a],H88,tVinculos[Tipo],"Préstamo recibido",tVinculos[Fecha],"&gt;="&amp;'Configuración'!$C$6,tVinculos[Fecha],"&lt;="&amp;'Configuración'!$C$7)-SUMIFS(tVinculos[Importe],tVinculos[Vinculado a],H88,tVinculos[Tipo],"Devolución deuda",tVinculos[Fecha],"&gt;="&amp;'Configuración'!$C$6,tVinculos[Fecha],"&lt;="&amp;'Configuración'!$C$7))</f>
        <v/>
      </c>
    </row>
    <row r="89" ht="27.75" customHeight="1">
      <c r="A89" s="1"/>
      <c r="B89" s="10"/>
      <c r="C89" s="13"/>
      <c r="D89" s="13"/>
      <c r="E89" s="11"/>
      <c r="F89" s="14" t="str">
        <f>IF(B89="","",C89+SUMIFS(tMovimientos[Importe],tMovimientos[Destino],B89,tMovimientos[Fecha],"&gt;="&amp;'Configuración'!$C$6,tMovimientos[Fecha],"&lt;="&amp;'Configuración'!$C$7)-SUMIFS(tMovimientos[Importe],tMovimientos[Origen],B89,tMovimientos[Fecha],"&gt;="&amp;'Configuración'!$C$6,tMovimientos[Fecha],"&lt;="&amp;'Configuración'!$C$7))</f>
        <v/>
      </c>
      <c r="G89" s="1"/>
      <c r="H89" s="10"/>
      <c r="I89" s="10"/>
      <c r="J89" s="13"/>
      <c r="K89" s="14" t="str">
        <f>IF(H89="","",J89+SUMIFS(tVinculos[Importe],tVinculos[Vinculado a],H89,tVinculos[Tipo],"Préstamo recibido",tVinculos[Fecha],"&gt;="&amp;'Configuración'!$C$6,tVinculos[Fecha],"&lt;="&amp;'Configuración'!$C$7)-SUMIFS(tVinculos[Importe],tVinculos[Vinculado a],H89,tVinculos[Tipo],"Devolución deuda",tVinculos[Fecha],"&gt;="&amp;'Configuración'!$C$6,tVinculos[Fecha],"&lt;="&amp;'Configuración'!$C$7))</f>
        <v/>
      </c>
    </row>
    <row r="90" ht="27.75" customHeight="1">
      <c r="A90" s="1"/>
      <c r="B90" s="10"/>
      <c r="C90" s="13"/>
      <c r="D90" s="13"/>
      <c r="E90" s="11"/>
      <c r="F90" s="14" t="str">
        <f>IF(B90="","",C90+SUMIFS(tMovimientos[Importe],tMovimientos[Destino],B90,tMovimientos[Fecha],"&gt;="&amp;'Configuración'!$C$6,tMovimientos[Fecha],"&lt;="&amp;'Configuración'!$C$7)-SUMIFS(tMovimientos[Importe],tMovimientos[Origen],B90,tMovimientos[Fecha],"&gt;="&amp;'Configuración'!$C$6,tMovimientos[Fecha],"&lt;="&amp;'Configuración'!$C$7))</f>
        <v/>
      </c>
      <c r="G90" s="1"/>
      <c r="H90" s="10"/>
      <c r="I90" s="10"/>
      <c r="J90" s="13"/>
      <c r="K90" s="14" t="str">
        <f>IF(H90="","",J90+SUMIFS(tVinculos[Importe],tVinculos[Vinculado a],H90,tVinculos[Tipo],"Préstamo recibido",tVinculos[Fecha],"&gt;="&amp;'Configuración'!$C$6,tVinculos[Fecha],"&lt;="&amp;'Configuración'!$C$7)-SUMIFS(tVinculos[Importe],tVinculos[Vinculado a],H90,tVinculos[Tipo],"Devolución deuda",tVinculos[Fecha],"&gt;="&amp;'Configuración'!$C$6,tVinculos[Fecha],"&lt;="&amp;'Configuración'!$C$7))</f>
        <v/>
      </c>
    </row>
    <row r="91" ht="27.75" customHeight="1">
      <c r="A91" s="1"/>
      <c r="B91" s="10"/>
      <c r="C91" s="13"/>
      <c r="D91" s="13"/>
      <c r="E91" s="11"/>
      <c r="F91" s="14" t="str">
        <f>IF(B91="","",C91+SUMIFS(tMovimientos[Importe],tMovimientos[Destino],B91,tMovimientos[Fecha],"&gt;="&amp;'Configuración'!$C$6,tMovimientos[Fecha],"&lt;="&amp;'Configuración'!$C$7)-SUMIFS(tMovimientos[Importe],tMovimientos[Origen],B91,tMovimientos[Fecha],"&gt;="&amp;'Configuración'!$C$6,tMovimientos[Fecha],"&lt;="&amp;'Configuración'!$C$7))</f>
        <v/>
      </c>
      <c r="G91" s="1"/>
      <c r="H91" s="10"/>
      <c r="I91" s="10"/>
      <c r="J91" s="13"/>
      <c r="K91" s="14" t="str">
        <f>IF(H91="","",J91+SUMIFS(tVinculos[Importe],tVinculos[Vinculado a],H91,tVinculos[Tipo],"Préstamo recibido",tVinculos[Fecha],"&gt;="&amp;'Configuración'!$C$6,tVinculos[Fecha],"&lt;="&amp;'Configuración'!$C$7)-SUMIFS(tVinculos[Importe],tVinculos[Vinculado a],H91,tVinculos[Tipo],"Devolución deuda",tVinculos[Fecha],"&gt;="&amp;'Configuración'!$C$6,tVinculos[Fecha],"&lt;="&amp;'Configuración'!$C$7))</f>
        <v/>
      </c>
    </row>
    <row r="92" ht="27.75" customHeight="1">
      <c r="A92" s="1"/>
      <c r="B92" s="10"/>
      <c r="C92" s="13"/>
      <c r="D92" s="13"/>
      <c r="E92" s="11"/>
      <c r="F92" s="14" t="str">
        <f>IF(B92="","",C92+SUMIFS(tMovimientos[Importe],tMovimientos[Destino],B92,tMovimientos[Fecha],"&gt;="&amp;'Configuración'!$C$6,tMovimientos[Fecha],"&lt;="&amp;'Configuración'!$C$7)-SUMIFS(tMovimientos[Importe],tMovimientos[Origen],B92,tMovimientos[Fecha],"&gt;="&amp;'Configuración'!$C$6,tMovimientos[Fecha],"&lt;="&amp;'Configuración'!$C$7))</f>
        <v/>
      </c>
      <c r="G92" s="1"/>
      <c r="H92" s="10"/>
      <c r="I92" s="10"/>
      <c r="J92" s="13"/>
      <c r="K92" s="14" t="str">
        <f>IF(H92="","",J92+SUMIFS(tVinculos[Importe],tVinculos[Vinculado a],H92,tVinculos[Tipo],"Préstamo recibido",tVinculos[Fecha],"&gt;="&amp;'Configuración'!$C$6,tVinculos[Fecha],"&lt;="&amp;'Configuración'!$C$7)-SUMIFS(tVinculos[Importe],tVinculos[Vinculado a],H92,tVinculos[Tipo],"Devolución deuda",tVinculos[Fecha],"&gt;="&amp;'Configuración'!$C$6,tVinculos[Fecha],"&lt;="&amp;'Configuración'!$C$7))</f>
        <v/>
      </c>
    </row>
    <row r="93" ht="27.75" customHeight="1">
      <c r="A93" s="1"/>
      <c r="B93" s="10"/>
      <c r="C93" s="13"/>
      <c r="D93" s="13"/>
      <c r="E93" s="11"/>
      <c r="F93" s="14" t="str">
        <f>IF(B93="","",C93+SUMIFS(tMovimientos[Importe],tMovimientos[Destino],B93,tMovimientos[Fecha],"&gt;="&amp;'Configuración'!$C$6,tMovimientos[Fecha],"&lt;="&amp;'Configuración'!$C$7)-SUMIFS(tMovimientos[Importe],tMovimientos[Origen],B93,tMovimientos[Fecha],"&gt;="&amp;'Configuración'!$C$6,tMovimientos[Fecha],"&lt;="&amp;'Configuración'!$C$7))</f>
        <v/>
      </c>
      <c r="G93" s="1"/>
      <c r="H93" s="10"/>
      <c r="I93" s="10"/>
      <c r="J93" s="13"/>
      <c r="K93" s="14" t="str">
        <f>IF(H93="","",J93+SUMIFS(tVinculos[Importe],tVinculos[Vinculado a],H93,tVinculos[Tipo],"Préstamo recibido",tVinculos[Fecha],"&gt;="&amp;'Configuración'!$C$6,tVinculos[Fecha],"&lt;="&amp;'Configuración'!$C$7)-SUMIFS(tVinculos[Importe],tVinculos[Vinculado a],H93,tVinculos[Tipo],"Devolución deuda",tVinculos[Fecha],"&gt;="&amp;'Configuración'!$C$6,tVinculos[Fecha],"&lt;="&amp;'Configuración'!$C$7))</f>
        <v/>
      </c>
    </row>
    <row r="94" ht="27.75" customHeight="1">
      <c r="A94" s="1"/>
      <c r="B94" s="10"/>
      <c r="C94" s="13"/>
      <c r="D94" s="13"/>
      <c r="E94" s="11"/>
      <c r="F94" s="14" t="str">
        <f>IF(B94="","",C94+SUMIFS(tMovimientos[Importe],tMovimientos[Destino],B94,tMovimientos[Fecha],"&gt;="&amp;'Configuración'!$C$6,tMovimientos[Fecha],"&lt;="&amp;'Configuración'!$C$7)-SUMIFS(tMovimientos[Importe],tMovimientos[Origen],B94,tMovimientos[Fecha],"&gt;="&amp;'Configuración'!$C$6,tMovimientos[Fecha],"&lt;="&amp;'Configuración'!$C$7))</f>
        <v/>
      </c>
      <c r="G94" s="1"/>
      <c r="H94" s="10"/>
      <c r="I94" s="10"/>
      <c r="J94" s="13"/>
      <c r="K94" s="14" t="str">
        <f>IF(H94="","",J94+SUMIFS(tVinculos[Importe],tVinculos[Vinculado a],H94,tVinculos[Tipo],"Préstamo recibido",tVinculos[Fecha],"&gt;="&amp;'Configuración'!$C$6,tVinculos[Fecha],"&lt;="&amp;'Configuración'!$C$7)-SUMIFS(tVinculos[Importe],tVinculos[Vinculado a],H94,tVinculos[Tipo],"Devolución deuda",tVinculos[Fecha],"&gt;="&amp;'Configuración'!$C$6,tVinculos[Fecha],"&lt;="&amp;'Configuración'!$C$7))</f>
        <v/>
      </c>
    </row>
    <row r="95" ht="27.75" customHeight="1">
      <c r="A95" s="1"/>
      <c r="B95" s="10"/>
      <c r="C95" s="13"/>
      <c r="D95" s="13"/>
      <c r="E95" s="11"/>
      <c r="F95" s="14" t="str">
        <f>IF(B95="","",C95+SUMIFS(tMovimientos[Importe],tMovimientos[Destino],B95,tMovimientos[Fecha],"&gt;="&amp;'Configuración'!$C$6,tMovimientos[Fecha],"&lt;="&amp;'Configuración'!$C$7)-SUMIFS(tMovimientos[Importe],tMovimientos[Origen],B95,tMovimientos[Fecha],"&gt;="&amp;'Configuración'!$C$6,tMovimientos[Fecha],"&lt;="&amp;'Configuración'!$C$7))</f>
        <v/>
      </c>
      <c r="G95" s="1"/>
      <c r="H95" s="10"/>
      <c r="I95" s="10"/>
      <c r="J95" s="13"/>
      <c r="K95" s="14" t="str">
        <f>IF(H95="","",J95+SUMIFS(tVinculos[Importe],tVinculos[Vinculado a],H95,tVinculos[Tipo],"Préstamo recibido",tVinculos[Fecha],"&gt;="&amp;'Configuración'!$C$6,tVinculos[Fecha],"&lt;="&amp;'Configuración'!$C$7)-SUMIFS(tVinculos[Importe],tVinculos[Vinculado a],H95,tVinculos[Tipo],"Devolución deuda",tVinculos[Fecha],"&gt;="&amp;'Configuración'!$C$6,tVinculos[Fecha],"&lt;="&amp;'Configuración'!$C$7))</f>
        <v/>
      </c>
    </row>
    <row r="96" ht="27.75" customHeight="1">
      <c r="A96" s="1"/>
      <c r="B96" s="10"/>
      <c r="C96" s="13"/>
      <c r="D96" s="13"/>
      <c r="E96" s="11"/>
      <c r="F96" s="14" t="str">
        <f>IF(B96="","",C96+SUMIFS(tMovimientos[Importe],tMovimientos[Destino],B96,tMovimientos[Fecha],"&gt;="&amp;'Configuración'!$C$6,tMovimientos[Fecha],"&lt;="&amp;'Configuración'!$C$7)-SUMIFS(tMovimientos[Importe],tMovimientos[Origen],B96,tMovimientos[Fecha],"&gt;="&amp;'Configuración'!$C$6,tMovimientos[Fecha],"&lt;="&amp;'Configuración'!$C$7))</f>
        <v/>
      </c>
      <c r="G96" s="1"/>
      <c r="H96" s="10"/>
      <c r="I96" s="10"/>
      <c r="J96" s="13"/>
      <c r="K96" s="14" t="str">
        <f>IF(H96="","",J96+SUMIFS(tVinculos[Importe],tVinculos[Vinculado a],H96,tVinculos[Tipo],"Préstamo recibido",tVinculos[Fecha],"&gt;="&amp;'Configuración'!$C$6,tVinculos[Fecha],"&lt;="&amp;'Configuración'!$C$7)-SUMIFS(tVinculos[Importe],tVinculos[Vinculado a],H96,tVinculos[Tipo],"Devolución deuda",tVinculos[Fecha],"&gt;="&amp;'Configuración'!$C$6,tVinculos[Fecha],"&lt;="&amp;'Configuración'!$C$7))</f>
        <v/>
      </c>
    </row>
    <row r="97" ht="27.75" customHeight="1">
      <c r="A97" s="1"/>
      <c r="B97" s="10"/>
      <c r="C97" s="13"/>
      <c r="D97" s="13"/>
      <c r="E97" s="11"/>
      <c r="F97" s="14" t="str">
        <f>IF(B97="","",C97+SUMIFS(tMovimientos[Importe],tMovimientos[Destino],B97,tMovimientos[Fecha],"&gt;="&amp;'Configuración'!$C$6,tMovimientos[Fecha],"&lt;="&amp;'Configuración'!$C$7)-SUMIFS(tMovimientos[Importe],tMovimientos[Origen],B97,tMovimientos[Fecha],"&gt;="&amp;'Configuración'!$C$6,tMovimientos[Fecha],"&lt;="&amp;'Configuración'!$C$7))</f>
        <v/>
      </c>
      <c r="G97" s="1"/>
      <c r="H97" s="10"/>
      <c r="I97" s="10"/>
      <c r="J97" s="13"/>
      <c r="K97" s="14" t="str">
        <f>IF(H97="","",J97+SUMIFS(tVinculos[Importe],tVinculos[Vinculado a],H97,tVinculos[Tipo],"Préstamo recibido",tVinculos[Fecha],"&gt;="&amp;'Configuración'!$C$6,tVinculos[Fecha],"&lt;="&amp;'Configuración'!$C$7)-SUMIFS(tVinculos[Importe],tVinculos[Vinculado a],H97,tVinculos[Tipo],"Devolución deuda",tVinculos[Fecha],"&gt;="&amp;'Configuración'!$C$6,tVinculos[Fecha],"&lt;="&amp;'Configuración'!$C$7))</f>
        <v/>
      </c>
    </row>
    <row r="98" ht="27.75" customHeight="1">
      <c r="A98" s="1"/>
      <c r="B98" s="10"/>
      <c r="C98" s="13"/>
      <c r="D98" s="13"/>
      <c r="E98" s="11"/>
      <c r="F98" s="14" t="str">
        <f>IF(B98="","",C98+SUMIFS(tMovimientos[Importe],tMovimientos[Destino],B98,tMovimientos[Fecha],"&gt;="&amp;'Configuración'!$C$6,tMovimientos[Fecha],"&lt;="&amp;'Configuración'!$C$7)-SUMIFS(tMovimientos[Importe],tMovimientos[Origen],B98,tMovimientos[Fecha],"&gt;="&amp;'Configuración'!$C$6,tMovimientos[Fecha],"&lt;="&amp;'Configuración'!$C$7))</f>
        <v/>
      </c>
      <c r="G98" s="1"/>
      <c r="H98" s="10"/>
      <c r="I98" s="10"/>
      <c r="J98" s="13"/>
      <c r="K98" s="14" t="str">
        <f>IF(H98="","",J98+SUMIFS(tVinculos[Importe],tVinculos[Vinculado a],H98,tVinculos[Tipo],"Préstamo recibido",tVinculos[Fecha],"&gt;="&amp;'Configuración'!$C$6,tVinculos[Fecha],"&lt;="&amp;'Configuración'!$C$7)-SUMIFS(tVinculos[Importe],tVinculos[Vinculado a],H98,tVinculos[Tipo],"Devolución deuda",tVinculos[Fecha],"&gt;="&amp;'Configuración'!$C$6,tVinculos[Fecha],"&lt;="&amp;'Configuración'!$C$7))</f>
        <v/>
      </c>
    </row>
    <row r="99" ht="27.75" customHeight="1">
      <c r="A99" s="1"/>
      <c r="B99" s="10"/>
      <c r="C99" s="13"/>
      <c r="D99" s="13"/>
      <c r="E99" s="11"/>
      <c r="F99" s="14" t="str">
        <f>IF(B99="","",C99+SUMIFS(tMovimientos[Importe],tMovimientos[Destino],B99,tMovimientos[Fecha],"&gt;="&amp;'Configuración'!$C$6,tMovimientos[Fecha],"&lt;="&amp;'Configuración'!$C$7)-SUMIFS(tMovimientos[Importe],tMovimientos[Origen],B99,tMovimientos[Fecha],"&gt;="&amp;'Configuración'!$C$6,tMovimientos[Fecha],"&lt;="&amp;'Configuración'!$C$7))</f>
        <v/>
      </c>
      <c r="G99" s="1"/>
      <c r="H99" s="10"/>
      <c r="I99" s="10"/>
      <c r="J99" s="13"/>
      <c r="K99" s="14" t="str">
        <f>IF(H99="","",J99+SUMIFS(tVinculos[Importe],tVinculos[Vinculado a],H99,tVinculos[Tipo],"Préstamo recibido",tVinculos[Fecha],"&gt;="&amp;'Configuración'!$C$6,tVinculos[Fecha],"&lt;="&amp;'Configuración'!$C$7)-SUMIFS(tVinculos[Importe],tVinculos[Vinculado a],H99,tVinculos[Tipo],"Devolución deuda",tVinculos[Fecha],"&gt;="&amp;'Configuración'!$C$6,tVinculos[Fecha],"&lt;="&amp;'Configuración'!$C$7))</f>
        <v/>
      </c>
    </row>
    <row r="100" ht="27.75" customHeight="1">
      <c r="A100" s="1"/>
      <c r="B100" s="10"/>
      <c r="C100" s="13"/>
      <c r="D100" s="13"/>
      <c r="E100" s="11"/>
      <c r="F100" s="14" t="str">
        <f>IF(B100="","",C100+SUMIFS(tMovimientos[Importe],tMovimientos[Destino],B100,tMovimientos[Fecha],"&gt;="&amp;'Configuración'!$C$6,tMovimientos[Fecha],"&lt;="&amp;'Configuración'!$C$7)-SUMIFS(tMovimientos[Importe],tMovimientos[Origen],B100,tMovimientos[Fecha],"&gt;="&amp;'Configuración'!$C$6,tMovimientos[Fecha],"&lt;="&amp;'Configuración'!$C$7))</f>
        <v/>
      </c>
      <c r="G100" s="1"/>
      <c r="H100" s="10"/>
      <c r="I100" s="10"/>
      <c r="J100" s="13"/>
      <c r="K100" s="14" t="str">
        <f>IF(H100="","",J100+SUMIFS(tVinculos[Importe],tVinculos[Vinculado a],H100,tVinculos[Tipo],"Préstamo recibido",tVinculos[Fecha],"&gt;="&amp;'Configuración'!$C$6,tVinculos[Fecha],"&lt;="&amp;'Configuración'!$C$7)-SUMIFS(tVinculos[Importe],tVinculos[Vinculado a],H100,tVinculos[Tipo],"Devolución deuda",tVinculos[Fecha],"&gt;="&amp;'Configuración'!$C$6,tVinculos[Fecha],"&lt;="&amp;'Configuración'!$C$7))</f>
        <v/>
      </c>
    </row>
    <row r="101" ht="27.75" customHeight="1">
      <c r="A101" s="1"/>
      <c r="B101" s="10"/>
      <c r="C101" s="13"/>
      <c r="D101" s="13"/>
      <c r="E101" s="11"/>
      <c r="F101" s="14" t="str">
        <f>IF(B101="","",C101+SUMIFS(tMovimientos[Importe],tMovimientos[Destino],B101,tMovimientos[Fecha],"&gt;="&amp;'Configuración'!$C$6,tMovimientos[Fecha],"&lt;="&amp;'Configuración'!$C$7)-SUMIFS(tMovimientos[Importe],tMovimientos[Origen],B101,tMovimientos[Fecha],"&gt;="&amp;'Configuración'!$C$6,tMovimientos[Fecha],"&lt;="&amp;'Configuración'!$C$7))</f>
        <v/>
      </c>
      <c r="G101" s="1"/>
      <c r="H101" s="10"/>
      <c r="I101" s="10"/>
      <c r="J101" s="13"/>
      <c r="K101" s="14" t="str">
        <f>IF(H101="","",J101+SUMIFS(tVinculos[Importe],tVinculos[Vinculado a],H101,tVinculos[Tipo],"Préstamo recibido",tVinculos[Fecha],"&gt;="&amp;'Configuración'!$C$6,tVinculos[Fecha],"&lt;="&amp;'Configuración'!$C$7)-SUMIFS(tVinculos[Importe],tVinculos[Vinculado a],H101,tVinculos[Tipo],"Devolución deuda",tVinculos[Fecha],"&gt;="&amp;'Configuración'!$C$6,tVinculos[Fecha],"&lt;="&amp;'Configuración'!$C$7))</f>
        <v/>
      </c>
    </row>
    <row r="102" ht="27.75" customHeight="1">
      <c r="A102" s="1"/>
      <c r="B102" s="10"/>
      <c r="C102" s="13"/>
      <c r="D102" s="13"/>
      <c r="E102" s="11"/>
      <c r="F102" s="14" t="str">
        <f>IF(B102="","",C102+SUMIFS(tMovimientos[Importe],tMovimientos[Destino],B102,tMovimientos[Fecha],"&gt;="&amp;'Configuración'!$C$6,tMovimientos[Fecha],"&lt;="&amp;'Configuración'!$C$7)-SUMIFS(tMovimientos[Importe],tMovimientos[Origen],B102,tMovimientos[Fecha],"&gt;="&amp;'Configuración'!$C$6,tMovimientos[Fecha],"&lt;="&amp;'Configuración'!$C$7))</f>
        <v/>
      </c>
      <c r="G102" s="1"/>
      <c r="H102" s="10"/>
      <c r="I102" s="10"/>
      <c r="J102" s="13"/>
      <c r="K102" s="14" t="str">
        <f>IF(H102="","",J102+SUMIFS(tVinculos[Importe],tVinculos[Vinculado a],H102,tVinculos[Tipo],"Préstamo recibido",tVinculos[Fecha],"&gt;="&amp;'Configuración'!$C$6,tVinculos[Fecha],"&lt;="&amp;'Configuración'!$C$7)-SUMIFS(tVinculos[Importe],tVinculos[Vinculado a],H102,tVinculos[Tipo],"Devolución deuda",tVinculos[Fecha],"&gt;="&amp;'Configuración'!$C$6,tVinculos[Fecha],"&lt;="&amp;'Configuración'!$C$7))</f>
        <v/>
      </c>
    </row>
    <row r="103" ht="27.75" customHeight="1">
      <c r="A103" s="1"/>
      <c r="B103" s="10"/>
      <c r="C103" s="13"/>
      <c r="D103" s="13"/>
      <c r="E103" s="11"/>
      <c r="F103" s="14" t="str">
        <f>IF(B103="","",C103+SUMIFS(tMovimientos[Importe],tMovimientos[Destino],B103,tMovimientos[Fecha],"&gt;="&amp;'Configuración'!$C$6,tMovimientos[Fecha],"&lt;="&amp;'Configuración'!$C$7)-SUMIFS(tMovimientos[Importe],tMovimientos[Origen],B103,tMovimientos[Fecha],"&gt;="&amp;'Configuración'!$C$6,tMovimientos[Fecha],"&lt;="&amp;'Configuración'!$C$7))</f>
        <v/>
      </c>
      <c r="G103" s="1"/>
      <c r="H103" s="10"/>
      <c r="I103" s="10"/>
      <c r="J103" s="13"/>
      <c r="K103" s="14" t="str">
        <f>IF(H103="","",J103+SUMIFS(tVinculos[Importe],tVinculos[Vinculado a],H103,tVinculos[Tipo],"Préstamo recibido",tVinculos[Fecha],"&gt;="&amp;'Configuración'!$C$6,tVinculos[Fecha],"&lt;="&amp;'Configuración'!$C$7)-SUMIFS(tVinculos[Importe],tVinculos[Vinculado a],H103,tVinculos[Tipo],"Devolución deuda",tVinculos[Fecha],"&gt;="&amp;'Configuración'!$C$6,tVinculos[Fecha],"&lt;="&amp;'Configuración'!$C$7))</f>
        <v/>
      </c>
    </row>
    <row r="104" ht="27.75" customHeight="1">
      <c r="A104" s="1"/>
      <c r="B104" s="10"/>
      <c r="C104" s="13"/>
      <c r="D104" s="13"/>
      <c r="E104" s="11"/>
      <c r="F104" s="14" t="str">
        <f>IF(B104="","",C104+SUMIFS(tMovimientos[Importe],tMovimientos[Destino],B104,tMovimientos[Fecha],"&gt;="&amp;'Configuración'!$C$6,tMovimientos[Fecha],"&lt;="&amp;'Configuración'!$C$7)-SUMIFS(tMovimientos[Importe],tMovimientos[Origen],B104,tMovimientos[Fecha],"&gt;="&amp;'Configuración'!$C$6,tMovimientos[Fecha],"&lt;="&amp;'Configuración'!$C$7))</f>
        <v/>
      </c>
      <c r="G104" s="1"/>
      <c r="H104" s="10"/>
      <c r="I104" s="10"/>
      <c r="J104" s="13"/>
      <c r="K104" s="14" t="str">
        <f>IF(H104="","",J104+SUMIFS(tVinculos[Importe],tVinculos[Vinculado a],H104,tVinculos[Tipo],"Préstamo recibido",tVinculos[Fecha],"&gt;="&amp;'Configuración'!$C$6,tVinculos[Fecha],"&lt;="&amp;'Configuración'!$C$7)-SUMIFS(tVinculos[Importe],tVinculos[Vinculado a],H104,tVinculos[Tipo],"Devolución deuda",tVinculos[Fecha],"&gt;="&amp;'Configuración'!$C$6,tVinculos[Fecha],"&lt;="&amp;'Configuración'!$C$7))</f>
        <v/>
      </c>
    </row>
    <row r="105" ht="27.75" customHeight="1">
      <c r="A105" s="1"/>
      <c r="B105" s="10"/>
      <c r="C105" s="13"/>
      <c r="D105" s="13"/>
      <c r="E105" s="11"/>
      <c r="F105" s="14" t="str">
        <f>IF(B105="","",C105+SUMIFS(tMovimientos[Importe],tMovimientos[Destino],B105,tMovimientos[Fecha],"&gt;="&amp;'Configuración'!$C$6,tMovimientos[Fecha],"&lt;="&amp;'Configuración'!$C$7)-SUMIFS(tMovimientos[Importe],tMovimientos[Origen],B105,tMovimientos[Fecha],"&gt;="&amp;'Configuración'!$C$6,tMovimientos[Fecha],"&lt;="&amp;'Configuración'!$C$7))</f>
        <v/>
      </c>
      <c r="G105" s="1"/>
      <c r="H105" s="10"/>
      <c r="I105" s="10"/>
      <c r="J105" s="13"/>
      <c r="K105" s="14" t="str">
        <f>IF(H105="","",J105+SUMIFS(tVinculos[Importe],tVinculos[Vinculado a],H105,tVinculos[Tipo],"Préstamo recibido",tVinculos[Fecha],"&gt;="&amp;'Configuración'!$C$6,tVinculos[Fecha],"&lt;="&amp;'Configuración'!$C$7)-SUMIFS(tVinculos[Importe],tVinculos[Vinculado a],H105,tVinculos[Tipo],"Devolución deuda",tVinculos[Fecha],"&gt;="&amp;'Configuración'!$C$6,tVinculos[Fecha],"&lt;="&amp;'Configuración'!$C$7))</f>
        <v/>
      </c>
    </row>
    <row r="106" ht="27.75" customHeight="1">
      <c r="A106" s="1"/>
      <c r="B106" s="10"/>
      <c r="C106" s="13"/>
      <c r="D106" s="13"/>
      <c r="E106" s="11"/>
      <c r="F106" s="14" t="str">
        <f>IF(B106="","",C106+SUMIFS(tMovimientos[Importe],tMovimientos[Destino],B106,tMovimientos[Fecha],"&gt;="&amp;'Configuración'!$C$6,tMovimientos[Fecha],"&lt;="&amp;'Configuración'!$C$7)-SUMIFS(tMovimientos[Importe],tMovimientos[Origen],B106,tMovimientos[Fecha],"&gt;="&amp;'Configuración'!$C$6,tMovimientos[Fecha],"&lt;="&amp;'Configuración'!$C$7))</f>
        <v/>
      </c>
      <c r="G106" s="1"/>
      <c r="H106" s="10"/>
      <c r="I106" s="10"/>
      <c r="J106" s="13"/>
      <c r="K106" s="14" t="str">
        <f>IF(H106="","",J106+SUMIFS(tVinculos[Importe],tVinculos[Vinculado a],H106,tVinculos[Tipo],"Préstamo recibido",tVinculos[Fecha],"&gt;="&amp;'Configuración'!$C$6,tVinculos[Fecha],"&lt;="&amp;'Configuración'!$C$7)-SUMIFS(tVinculos[Importe],tVinculos[Vinculado a],H106,tVinculos[Tipo],"Devolución deuda",tVinculos[Fecha],"&gt;="&amp;'Configuración'!$C$6,tVinculos[Fecha],"&lt;="&amp;'Configuración'!$C$7))</f>
        <v/>
      </c>
    </row>
    <row r="107" ht="27.75" customHeight="1">
      <c r="A107" s="1"/>
      <c r="B107" s="10"/>
      <c r="C107" s="13"/>
      <c r="D107" s="13"/>
      <c r="E107" s="11"/>
      <c r="F107" s="14" t="str">
        <f>IF(B107="","",C107+SUMIFS(tMovimientos[Importe],tMovimientos[Destino],B107,tMovimientos[Fecha],"&gt;="&amp;'Configuración'!$C$6,tMovimientos[Fecha],"&lt;="&amp;'Configuración'!$C$7)-SUMIFS(tMovimientos[Importe],tMovimientos[Origen],B107,tMovimientos[Fecha],"&gt;="&amp;'Configuración'!$C$6,tMovimientos[Fecha],"&lt;="&amp;'Configuración'!$C$7))</f>
        <v/>
      </c>
      <c r="G107" s="1"/>
      <c r="H107" s="10"/>
      <c r="I107" s="10"/>
      <c r="J107" s="13"/>
      <c r="K107" s="14" t="str">
        <f>IF(H107="","",J107+SUMIFS(tVinculos[Importe],tVinculos[Vinculado a],H107,tVinculos[Tipo],"Préstamo recibido",tVinculos[Fecha],"&gt;="&amp;'Configuración'!$C$6,tVinculos[Fecha],"&lt;="&amp;'Configuración'!$C$7)-SUMIFS(tVinculos[Importe],tVinculos[Vinculado a],H107,tVinculos[Tipo],"Devolución deuda",tVinculos[Fecha],"&gt;="&amp;'Configuración'!$C$6,tVinculos[Fecha],"&lt;="&amp;'Configuración'!$C$7))</f>
        <v/>
      </c>
    </row>
    <row r="108" ht="27.75" customHeight="1">
      <c r="A108" s="1"/>
      <c r="B108" s="10"/>
      <c r="C108" s="13"/>
      <c r="D108" s="13"/>
      <c r="E108" s="11"/>
      <c r="F108" s="14" t="str">
        <f>IF(B108="","",C108+SUMIFS(tMovimientos[Importe],tMovimientos[Destino],B108,tMovimientos[Fecha],"&gt;="&amp;'Configuración'!$C$6,tMovimientos[Fecha],"&lt;="&amp;'Configuración'!$C$7)-SUMIFS(tMovimientos[Importe],tMovimientos[Origen],B108,tMovimientos[Fecha],"&gt;="&amp;'Configuración'!$C$6,tMovimientos[Fecha],"&lt;="&amp;'Configuración'!$C$7))</f>
        <v/>
      </c>
      <c r="G108" s="1"/>
      <c r="H108" s="10"/>
      <c r="I108" s="10"/>
      <c r="J108" s="13"/>
      <c r="K108" s="14" t="str">
        <f>IF(H108="","",J108+SUMIFS(tVinculos[Importe],tVinculos[Vinculado a],H108,tVinculos[Tipo],"Préstamo recibido",tVinculos[Fecha],"&gt;="&amp;'Configuración'!$C$6,tVinculos[Fecha],"&lt;="&amp;'Configuración'!$C$7)-SUMIFS(tVinculos[Importe],tVinculos[Vinculado a],H108,tVinculos[Tipo],"Devolución deuda",tVinculos[Fecha],"&gt;="&amp;'Configuración'!$C$6,tVinculos[Fecha],"&lt;="&amp;'Configuración'!$C$7))</f>
        <v/>
      </c>
    </row>
    <row r="109" ht="27.75" customHeight="1">
      <c r="A109" s="1"/>
      <c r="B109" s="10"/>
      <c r="C109" s="13"/>
      <c r="D109" s="13"/>
      <c r="E109" s="11"/>
      <c r="F109" s="14" t="str">
        <f>IF(B109="","",C109+SUMIFS(tMovimientos[Importe],tMovimientos[Destino],B109,tMovimientos[Fecha],"&gt;="&amp;'Configuración'!$C$6,tMovimientos[Fecha],"&lt;="&amp;'Configuración'!$C$7)-SUMIFS(tMovimientos[Importe],tMovimientos[Origen],B109,tMovimientos[Fecha],"&gt;="&amp;'Configuración'!$C$6,tMovimientos[Fecha],"&lt;="&amp;'Configuración'!$C$7))</f>
        <v/>
      </c>
      <c r="G109" s="1"/>
      <c r="H109" s="10"/>
      <c r="I109" s="10"/>
      <c r="J109" s="13"/>
      <c r="K109" s="14" t="str">
        <f>IF(H109="","",J109+SUMIFS(tVinculos[Importe],tVinculos[Vinculado a],H109,tVinculos[Tipo],"Préstamo recibido",tVinculos[Fecha],"&gt;="&amp;'Configuración'!$C$6,tVinculos[Fecha],"&lt;="&amp;'Configuración'!$C$7)-SUMIFS(tVinculos[Importe],tVinculos[Vinculado a],H109,tVinculos[Tipo],"Devolución deuda",tVinculos[Fecha],"&gt;="&amp;'Configuración'!$C$6,tVinculos[Fecha],"&lt;="&amp;'Configuración'!$C$7))</f>
        <v/>
      </c>
    </row>
    <row r="110" ht="27.75" customHeight="1">
      <c r="A110" s="1"/>
      <c r="B110" s="10"/>
      <c r="C110" s="13"/>
      <c r="D110" s="13"/>
      <c r="E110" s="11"/>
      <c r="F110" s="14" t="str">
        <f>IF(B110="","",C110+SUMIFS(tMovimientos[Importe],tMovimientos[Destino],B110,tMovimientos[Fecha],"&gt;="&amp;'Configuración'!$C$6,tMovimientos[Fecha],"&lt;="&amp;'Configuración'!$C$7)-SUMIFS(tMovimientos[Importe],tMovimientos[Origen],B110,tMovimientos[Fecha],"&gt;="&amp;'Configuración'!$C$6,tMovimientos[Fecha],"&lt;="&amp;'Configuración'!$C$7))</f>
        <v/>
      </c>
      <c r="G110" s="1"/>
      <c r="H110" s="10"/>
      <c r="I110" s="10"/>
      <c r="J110" s="13"/>
      <c r="K110" s="14" t="str">
        <f>IF(H110="","",J110+SUMIFS(tVinculos[Importe],tVinculos[Vinculado a],H110,tVinculos[Tipo],"Préstamo recibido",tVinculos[Fecha],"&gt;="&amp;'Configuración'!$C$6,tVinculos[Fecha],"&lt;="&amp;'Configuración'!$C$7)-SUMIFS(tVinculos[Importe],tVinculos[Vinculado a],H110,tVinculos[Tipo],"Devolución deuda",tVinculos[Fecha],"&gt;="&amp;'Configuración'!$C$6,tVinculos[Fecha],"&lt;="&amp;'Configuración'!$C$7))</f>
        <v/>
      </c>
    </row>
    <row r="111" ht="27.75" customHeight="1">
      <c r="A111" s="1"/>
      <c r="B111" s="10"/>
      <c r="C111" s="13"/>
      <c r="D111" s="13"/>
      <c r="E111" s="11"/>
      <c r="F111" s="14" t="str">
        <f>IF(B111="","",C111+SUMIFS(tMovimientos[Importe],tMovimientos[Destino],B111,tMovimientos[Fecha],"&gt;="&amp;'Configuración'!$C$6,tMovimientos[Fecha],"&lt;="&amp;'Configuración'!$C$7)-SUMIFS(tMovimientos[Importe],tMovimientos[Origen],B111,tMovimientos[Fecha],"&gt;="&amp;'Configuración'!$C$6,tMovimientos[Fecha],"&lt;="&amp;'Configuración'!$C$7))</f>
        <v/>
      </c>
      <c r="G111" s="1"/>
      <c r="H111" s="10"/>
      <c r="I111" s="10"/>
      <c r="J111" s="13"/>
      <c r="K111" s="14" t="str">
        <f>IF(H111="","",J111+SUMIFS(tVinculos[Importe],tVinculos[Vinculado a],H111,tVinculos[Tipo],"Préstamo recibido",tVinculos[Fecha],"&gt;="&amp;'Configuración'!$C$6,tVinculos[Fecha],"&lt;="&amp;'Configuración'!$C$7)-SUMIFS(tVinculos[Importe],tVinculos[Vinculado a],H111,tVinculos[Tipo],"Devolución deuda",tVinculos[Fecha],"&gt;="&amp;'Configuración'!$C$6,tVinculos[Fecha],"&lt;="&amp;'Configuración'!$C$7))</f>
        <v/>
      </c>
    </row>
    <row r="112" ht="27.75" customHeight="1">
      <c r="A112" s="1"/>
      <c r="B112" s="10"/>
      <c r="C112" s="13"/>
      <c r="D112" s="13"/>
      <c r="E112" s="11"/>
      <c r="F112" s="14" t="str">
        <f>IF(B112="","",C112+SUMIFS(tMovimientos[Importe],tMovimientos[Destino],B112,tMovimientos[Fecha],"&gt;="&amp;'Configuración'!$C$6,tMovimientos[Fecha],"&lt;="&amp;'Configuración'!$C$7)-SUMIFS(tMovimientos[Importe],tMovimientos[Origen],B112,tMovimientos[Fecha],"&gt;="&amp;'Configuración'!$C$6,tMovimientos[Fecha],"&lt;="&amp;'Configuración'!$C$7))</f>
        <v/>
      </c>
      <c r="G112" s="1"/>
      <c r="H112" s="10"/>
      <c r="I112" s="10"/>
      <c r="J112" s="13"/>
      <c r="K112" s="14" t="str">
        <f>IF(H112="","",J112+SUMIFS(tVinculos[Importe],tVinculos[Vinculado a],H112,tVinculos[Tipo],"Préstamo recibido",tVinculos[Fecha],"&gt;="&amp;'Configuración'!$C$6,tVinculos[Fecha],"&lt;="&amp;'Configuración'!$C$7)-SUMIFS(tVinculos[Importe],tVinculos[Vinculado a],H112,tVinculos[Tipo],"Devolución deuda",tVinculos[Fecha],"&gt;="&amp;'Configuración'!$C$6,tVinculos[Fecha],"&lt;="&amp;'Configuración'!$C$7))</f>
        <v/>
      </c>
    </row>
    <row r="113" ht="27.75" customHeight="1">
      <c r="A113" s="1"/>
      <c r="B113" s="10"/>
      <c r="C113" s="13"/>
      <c r="D113" s="13"/>
      <c r="E113" s="11"/>
      <c r="F113" s="14" t="str">
        <f>IF(B113="","",C113+SUMIFS(tMovimientos[Importe],tMovimientos[Destino],B113,tMovimientos[Fecha],"&gt;="&amp;'Configuración'!$C$6,tMovimientos[Fecha],"&lt;="&amp;'Configuración'!$C$7)-SUMIFS(tMovimientos[Importe],tMovimientos[Origen],B113,tMovimientos[Fecha],"&gt;="&amp;'Configuración'!$C$6,tMovimientos[Fecha],"&lt;="&amp;'Configuración'!$C$7))</f>
        <v/>
      </c>
      <c r="G113" s="1"/>
      <c r="H113" s="10"/>
      <c r="I113" s="10"/>
      <c r="J113" s="13"/>
      <c r="K113" s="14" t="str">
        <f>IF(H113="","",J113+SUMIFS(tVinculos[Importe],tVinculos[Vinculado a],H113,tVinculos[Tipo],"Préstamo recibido",tVinculos[Fecha],"&gt;="&amp;'Configuración'!$C$6,tVinculos[Fecha],"&lt;="&amp;'Configuración'!$C$7)-SUMIFS(tVinculos[Importe],tVinculos[Vinculado a],H113,tVinculos[Tipo],"Devolución deuda",tVinculos[Fecha],"&gt;="&amp;'Configuración'!$C$6,tVinculos[Fecha],"&lt;="&amp;'Configuración'!$C$7))</f>
        <v/>
      </c>
    </row>
    <row r="114" ht="27.75" customHeight="1">
      <c r="A114" s="1"/>
      <c r="B114" s="10"/>
      <c r="C114" s="13"/>
      <c r="D114" s="13"/>
      <c r="E114" s="11"/>
      <c r="F114" s="14" t="str">
        <f>IF(B114="","",C114+SUMIFS(tMovimientos[Importe],tMovimientos[Destino],B114,tMovimientos[Fecha],"&gt;="&amp;'Configuración'!$C$6,tMovimientos[Fecha],"&lt;="&amp;'Configuración'!$C$7)-SUMIFS(tMovimientos[Importe],tMovimientos[Origen],B114,tMovimientos[Fecha],"&gt;="&amp;'Configuración'!$C$6,tMovimientos[Fecha],"&lt;="&amp;'Configuración'!$C$7))</f>
        <v/>
      </c>
      <c r="G114" s="1"/>
      <c r="H114" s="10"/>
      <c r="I114" s="10"/>
      <c r="J114" s="13"/>
      <c r="K114" s="14" t="str">
        <f>IF(H114="","",J114+SUMIFS(tVinculos[Importe],tVinculos[Vinculado a],H114,tVinculos[Tipo],"Préstamo recibido",tVinculos[Fecha],"&gt;="&amp;'Configuración'!$C$6,tVinculos[Fecha],"&lt;="&amp;'Configuración'!$C$7)-SUMIFS(tVinculos[Importe],tVinculos[Vinculado a],H114,tVinculos[Tipo],"Devolución deuda",tVinculos[Fecha],"&gt;="&amp;'Configuración'!$C$6,tVinculos[Fecha],"&lt;="&amp;'Configuración'!$C$7))</f>
        <v/>
      </c>
    </row>
    <row r="115" ht="27.75" customHeight="1">
      <c r="A115" s="1"/>
      <c r="B115" s="10"/>
      <c r="C115" s="13"/>
      <c r="D115" s="13"/>
      <c r="E115" s="11"/>
      <c r="F115" s="14" t="str">
        <f>IF(B115="","",C115+SUMIFS(tMovimientos[Importe],tMovimientos[Destino],B115,tMovimientos[Fecha],"&gt;="&amp;'Configuración'!$C$6,tMovimientos[Fecha],"&lt;="&amp;'Configuración'!$C$7)-SUMIFS(tMovimientos[Importe],tMovimientos[Origen],B115,tMovimientos[Fecha],"&gt;="&amp;'Configuración'!$C$6,tMovimientos[Fecha],"&lt;="&amp;'Configuración'!$C$7))</f>
        <v/>
      </c>
      <c r="G115" s="1"/>
      <c r="H115" s="10"/>
      <c r="I115" s="10"/>
      <c r="J115" s="13"/>
      <c r="K115" s="14" t="str">
        <f>IF(H115="","",J115+SUMIFS(tVinculos[Importe],tVinculos[Vinculado a],H115,tVinculos[Tipo],"Préstamo recibido",tVinculos[Fecha],"&gt;="&amp;'Configuración'!$C$6,tVinculos[Fecha],"&lt;="&amp;'Configuración'!$C$7)-SUMIFS(tVinculos[Importe],tVinculos[Vinculado a],H115,tVinculos[Tipo],"Devolución deuda",tVinculos[Fecha],"&gt;="&amp;'Configuración'!$C$6,tVinculos[Fecha],"&lt;="&amp;'Configuración'!$C$7))</f>
        <v/>
      </c>
    </row>
    <row r="116" ht="27.75" customHeight="1">
      <c r="A116" s="1"/>
      <c r="B116" s="10"/>
      <c r="C116" s="13"/>
      <c r="D116" s="13"/>
      <c r="E116" s="11"/>
      <c r="F116" s="14" t="str">
        <f>IF(B116="","",C116+SUMIFS(tMovimientos[Importe],tMovimientos[Destino],B116,tMovimientos[Fecha],"&gt;="&amp;'Configuración'!$C$6,tMovimientos[Fecha],"&lt;="&amp;'Configuración'!$C$7)-SUMIFS(tMovimientos[Importe],tMovimientos[Origen],B116,tMovimientos[Fecha],"&gt;="&amp;'Configuración'!$C$6,tMovimientos[Fecha],"&lt;="&amp;'Configuración'!$C$7))</f>
        <v/>
      </c>
      <c r="G116" s="1"/>
      <c r="H116" s="10"/>
      <c r="I116" s="10"/>
      <c r="J116" s="13"/>
      <c r="K116" s="14" t="str">
        <f>IF(H116="","",J116+SUMIFS(tVinculos[Importe],tVinculos[Vinculado a],H116,tVinculos[Tipo],"Préstamo recibido",tVinculos[Fecha],"&gt;="&amp;'Configuración'!$C$6,tVinculos[Fecha],"&lt;="&amp;'Configuración'!$C$7)-SUMIFS(tVinculos[Importe],tVinculos[Vinculado a],H116,tVinculos[Tipo],"Devolución deuda",tVinculos[Fecha],"&gt;="&amp;'Configuración'!$C$6,tVinculos[Fecha],"&lt;="&amp;'Configuración'!$C$7))</f>
        <v/>
      </c>
    </row>
    <row r="117" ht="27.75" customHeight="1">
      <c r="A117" s="1"/>
      <c r="B117" s="10"/>
      <c r="C117" s="13"/>
      <c r="D117" s="13"/>
      <c r="E117" s="11"/>
      <c r="F117" s="14" t="str">
        <f>IF(B117="","",C117+SUMIFS(tMovimientos[Importe],tMovimientos[Destino],B117,tMovimientos[Fecha],"&gt;="&amp;'Configuración'!$C$6,tMovimientos[Fecha],"&lt;="&amp;'Configuración'!$C$7)-SUMIFS(tMovimientos[Importe],tMovimientos[Origen],B117,tMovimientos[Fecha],"&gt;="&amp;'Configuración'!$C$6,tMovimientos[Fecha],"&lt;="&amp;'Configuración'!$C$7))</f>
        <v/>
      </c>
      <c r="G117" s="1"/>
      <c r="H117" s="10"/>
      <c r="I117" s="10"/>
      <c r="J117" s="13"/>
      <c r="K117" s="14" t="str">
        <f>IF(H117="","",J117+SUMIFS(tVinculos[Importe],tVinculos[Vinculado a],H117,tVinculos[Tipo],"Préstamo recibido",tVinculos[Fecha],"&gt;="&amp;'Configuración'!$C$6,tVinculos[Fecha],"&lt;="&amp;'Configuración'!$C$7)-SUMIFS(tVinculos[Importe],tVinculos[Vinculado a],H117,tVinculos[Tipo],"Devolución deuda",tVinculos[Fecha],"&gt;="&amp;'Configuración'!$C$6,tVinculos[Fecha],"&lt;="&amp;'Configuración'!$C$7))</f>
        <v/>
      </c>
    </row>
    <row r="118" ht="27.75" customHeight="1">
      <c r="A118" s="1"/>
      <c r="B118" s="10"/>
      <c r="C118" s="13"/>
      <c r="D118" s="13"/>
      <c r="E118" s="11"/>
      <c r="F118" s="14" t="str">
        <f>IF(B118="","",C118+SUMIFS(tMovimientos[Importe],tMovimientos[Destino],B118,tMovimientos[Fecha],"&gt;="&amp;'Configuración'!$C$6,tMovimientos[Fecha],"&lt;="&amp;'Configuración'!$C$7)-SUMIFS(tMovimientos[Importe],tMovimientos[Origen],B118,tMovimientos[Fecha],"&gt;="&amp;'Configuración'!$C$6,tMovimientos[Fecha],"&lt;="&amp;'Configuración'!$C$7))</f>
        <v/>
      </c>
      <c r="G118" s="1"/>
      <c r="H118" s="10"/>
      <c r="I118" s="10"/>
      <c r="J118" s="13"/>
      <c r="K118" s="14" t="str">
        <f>IF(H118="","",J118+SUMIFS(tVinculos[Importe],tVinculos[Vinculado a],H118,tVinculos[Tipo],"Préstamo recibido",tVinculos[Fecha],"&gt;="&amp;'Configuración'!$C$6,tVinculos[Fecha],"&lt;="&amp;'Configuración'!$C$7)-SUMIFS(tVinculos[Importe],tVinculos[Vinculado a],H118,tVinculos[Tipo],"Devolución deuda",tVinculos[Fecha],"&gt;="&amp;'Configuración'!$C$6,tVinculos[Fecha],"&lt;="&amp;'Configuración'!$C$7))</f>
        <v/>
      </c>
    </row>
    <row r="119" ht="27.75" customHeight="1">
      <c r="A119" s="1"/>
      <c r="B119" s="10"/>
      <c r="C119" s="13"/>
      <c r="D119" s="13"/>
      <c r="E119" s="11"/>
      <c r="F119" s="14" t="str">
        <f>IF(B119="","",C119+SUMIFS(tMovimientos[Importe],tMovimientos[Destino],B119,tMovimientos[Fecha],"&gt;="&amp;'Configuración'!$C$6,tMovimientos[Fecha],"&lt;="&amp;'Configuración'!$C$7)-SUMIFS(tMovimientos[Importe],tMovimientos[Origen],B119,tMovimientos[Fecha],"&gt;="&amp;'Configuración'!$C$6,tMovimientos[Fecha],"&lt;="&amp;'Configuración'!$C$7))</f>
        <v/>
      </c>
      <c r="G119" s="1"/>
      <c r="H119" s="10"/>
      <c r="I119" s="10"/>
      <c r="J119" s="13"/>
      <c r="K119" s="14" t="str">
        <f>IF(H119="","",J119+SUMIFS(tVinculos[Importe],tVinculos[Vinculado a],H119,tVinculos[Tipo],"Préstamo recibido",tVinculos[Fecha],"&gt;="&amp;'Configuración'!$C$6,tVinculos[Fecha],"&lt;="&amp;'Configuración'!$C$7)-SUMIFS(tVinculos[Importe],tVinculos[Vinculado a],H119,tVinculos[Tipo],"Devolución deuda",tVinculos[Fecha],"&gt;="&amp;'Configuración'!$C$6,tVinculos[Fecha],"&lt;="&amp;'Configuración'!$C$7))</f>
        <v/>
      </c>
    </row>
    <row r="120" ht="27.75" customHeight="1">
      <c r="A120" s="1"/>
      <c r="B120" s="10"/>
      <c r="C120" s="13"/>
      <c r="D120" s="13"/>
      <c r="E120" s="11"/>
      <c r="F120" s="14" t="str">
        <f>IF(B120="","",C120+SUMIFS(tMovimientos[Importe],tMovimientos[Destino],B120,tMovimientos[Fecha],"&gt;="&amp;'Configuración'!$C$6,tMovimientos[Fecha],"&lt;="&amp;'Configuración'!$C$7)-SUMIFS(tMovimientos[Importe],tMovimientos[Origen],B120,tMovimientos[Fecha],"&gt;="&amp;'Configuración'!$C$6,tMovimientos[Fecha],"&lt;="&amp;'Configuración'!$C$7))</f>
        <v/>
      </c>
      <c r="G120" s="1"/>
      <c r="H120" s="10"/>
      <c r="I120" s="10"/>
      <c r="J120" s="13"/>
      <c r="K120" s="14" t="str">
        <f>IF(H120="","",J120+SUMIFS(tVinculos[Importe],tVinculos[Vinculado a],H120,tVinculos[Tipo],"Préstamo recibido",tVinculos[Fecha],"&gt;="&amp;'Configuración'!$C$6,tVinculos[Fecha],"&lt;="&amp;'Configuración'!$C$7)-SUMIFS(tVinculos[Importe],tVinculos[Vinculado a],H120,tVinculos[Tipo],"Devolución deuda",tVinculos[Fecha],"&gt;="&amp;'Configuración'!$C$6,tVinculos[Fecha],"&lt;="&amp;'Configuración'!$C$7))</f>
        <v/>
      </c>
    </row>
    <row r="121" ht="27.75" customHeight="1">
      <c r="A121" s="1"/>
      <c r="B121" s="10"/>
      <c r="C121" s="13"/>
      <c r="D121" s="13"/>
      <c r="E121" s="11"/>
      <c r="F121" s="14" t="str">
        <f>IF(B121="","",C121+SUMIFS(tMovimientos[Importe],tMovimientos[Destino],B121,tMovimientos[Fecha],"&gt;="&amp;'Configuración'!$C$6,tMovimientos[Fecha],"&lt;="&amp;'Configuración'!$C$7)-SUMIFS(tMovimientos[Importe],tMovimientos[Origen],B121,tMovimientos[Fecha],"&gt;="&amp;'Configuración'!$C$6,tMovimientos[Fecha],"&lt;="&amp;'Configuración'!$C$7))</f>
        <v/>
      </c>
      <c r="G121" s="1"/>
      <c r="H121" s="10"/>
      <c r="I121" s="10"/>
      <c r="J121" s="13"/>
      <c r="K121" s="14" t="str">
        <f>IF(H121="","",J121+SUMIFS(tVinculos[Importe],tVinculos[Vinculado a],H121,tVinculos[Tipo],"Préstamo recibido",tVinculos[Fecha],"&gt;="&amp;'Configuración'!$C$6,tVinculos[Fecha],"&lt;="&amp;'Configuración'!$C$7)-SUMIFS(tVinculos[Importe],tVinculos[Vinculado a],H121,tVinculos[Tipo],"Devolución deuda",tVinculos[Fecha],"&gt;="&amp;'Configuración'!$C$6,tVinculos[Fecha],"&lt;="&amp;'Configuración'!$C$7))</f>
        <v/>
      </c>
    </row>
    <row r="122" ht="27.75" customHeight="1">
      <c r="A122" s="1"/>
      <c r="B122" s="10"/>
      <c r="C122" s="13"/>
      <c r="D122" s="13"/>
      <c r="E122" s="11"/>
      <c r="F122" s="14" t="str">
        <f>IF(B122="","",C122+SUMIFS(tMovimientos[Importe],tMovimientos[Destino],B122,tMovimientos[Fecha],"&gt;="&amp;'Configuración'!$C$6,tMovimientos[Fecha],"&lt;="&amp;'Configuración'!$C$7)-SUMIFS(tMovimientos[Importe],tMovimientos[Origen],B122,tMovimientos[Fecha],"&gt;="&amp;'Configuración'!$C$6,tMovimientos[Fecha],"&lt;="&amp;'Configuración'!$C$7))</f>
        <v/>
      </c>
      <c r="G122" s="1"/>
      <c r="H122" s="10"/>
      <c r="I122" s="10"/>
      <c r="J122" s="13"/>
      <c r="K122" s="14" t="str">
        <f>IF(H122="","",J122+SUMIFS(tVinculos[Importe],tVinculos[Vinculado a],H122,tVinculos[Tipo],"Préstamo recibido",tVinculos[Fecha],"&gt;="&amp;'Configuración'!$C$6,tVinculos[Fecha],"&lt;="&amp;'Configuración'!$C$7)-SUMIFS(tVinculos[Importe],tVinculos[Vinculado a],H122,tVinculos[Tipo],"Devolución deuda",tVinculos[Fecha],"&gt;="&amp;'Configuración'!$C$6,tVinculos[Fecha],"&lt;="&amp;'Configuración'!$C$7))</f>
        <v/>
      </c>
    </row>
    <row r="123" ht="27.75" customHeight="1">
      <c r="A123" s="1"/>
      <c r="B123" s="10"/>
      <c r="C123" s="13"/>
      <c r="D123" s="13"/>
      <c r="E123" s="11"/>
      <c r="F123" s="14" t="str">
        <f>IF(B123="","",C123+SUMIFS(tMovimientos[Importe],tMovimientos[Destino],B123,tMovimientos[Fecha],"&gt;="&amp;'Configuración'!$C$6,tMovimientos[Fecha],"&lt;="&amp;'Configuración'!$C$7)-SUMIFS(tMovimientos[Importe],tMovimientos[Origen],B123,tMovimientos[Fecha],"&gt;="&amp;'Configuración'!$C$6,tMovimientos[Fecha],"&lt;="&amp;'Configuración'!$C$7))</f>
        <v/>
      </c>
      <c r="G123" s="1"/>
      <c r="H123" s="10"/>
      <c r="I123" s="10"/>
      <c r="J123" s="13"/>
      <c r="K123" s="14" t="str">
        <f>IF(H123="","",J123+SUMIFS(tVinculos[Importe],tVinculos[Vinculado a],H123,tVinculos[Tipo],"Préstamo recibido",tVinculos[Fecha],"&gt;="&amp;'Configuración'!$C$6,tVinculos[Fecha],"&lt;="&amp;'Configuración'!$C$7)-SUMIFS(tVinculos[Importe],tVinculos[Vinculado a],H123,tVinculos[Tipo],"Devolución deuda",tVinculos[Fecha],"&gt;="&amp;'Configuración'!$C$6,tVinculos[Fecha],"&lt;="&amp;'Configuración'!$C$7))</f>
        <v/>
      </c>
    </row>
    <row r="124" ht="27.75" customHeight="1">
      <c r="A124" s="1"/>
      <c r="B124" s="10"/>
      <c r="C124" s="13"/>
      <c r="D124" s="13"/>
      <c r="E124" s="11"/>
      <c r="F124" s="14" t="str">
        <f>IF(B124="","",C124+SUMIFS(tMovimientos[Importe],tMovimientos[Destino],B124,tMovimientos[Fecha],"&gt;="&amp;'Configuración'!$C$6,tMovimientos[Fecha],"&lt;="&amp;'Configuración'!$C$7)-SUMIFS(tMovimientos[Importe],tMovimientos[Origen],B124,tMovimientos[Fecha],"&gt;="&amp;'Configuración'!$C$6,tMovimientos[Fecha],"&lt;="&amp;'Configuración'!$C$7))</f>
        <v/>
      </c>
      <c r="G124" s="1"/>
      <c r="H124" s="10"/>
      <c r="I124" s="10"/>
      <c r="J124" s="13"/>
      <c r="K124" s="14" t="str">
        <f>IF(H124="","",J124+SUMIFS(tVinculos[Importe],tVinculos[Vinculado a],H124,tVinculos[Tipo],"Préstamo recibido",tVinculos[Fecha],"&gt;="&amp;'Configuración'!$C$6,tVinculos[Fecha],"&lt;="&amp;'Configuración'!$C$7)-SUMIFS(tVinculos[Importe],tVinculos[Vinculado a],H124,tVinculos[Tipo],"Devolución deuda",tVinculos[Fecha],"&gt;="&amp;'Configuración'!$C$6,tVinculos[Fecha],"&lt;="&amp;'Configuración'!$C$7))</f>
        <v/>
      </c>
    </row>
    <row r="125" ht="27.75" customHeight="1">
      <c r="A125" s="1"/>
      <c r="B125" s="10"/>
      <c r="C125" s="13"/>
      <c r="D125" s="13"/>
      <c r="E125" s="11"/>
      <c r="F125" s="14" t="str">
        <f>IF(B125="","",C125+SUMIFS(tMovimientos[Importe],tMovimientos[Destino],B125,tMovimientos[Fecha],"&gt;="&amp;'Configuración'!$C$6,tMovimientos[Fecha],"&lt;="&amp;'Configuración'!$C$7)-SUMIFS(tMovimientos[Importe],tMovimientos[Origen],B125,tMovimientos[Fecha],"&gt;="&amp;'Configuración'!$C$6,tMovimientos[Fecha],"&lt;="&amp;'Configuración'!$C$7))</f>
        <v/>
      </c>
      <c r="G125" s="1"/>
      <c r="H125" s="10"/>
      <c r="I125" s="10"/>
      <c r="J125" s="13"/>
      <c r="K125" s="14" t="str">
        <f>IF(H125="","",J125+SUMIFS(tVinculos[Importe],tVinculos[Vinculado a],H125,tVinculos[Tipo],"Préstamo recibido",tVinculos[Fecha],"&gt;="&amp;'Configuración'!$C$6,tVinculos[Fecha],"&lt;="&amp;'Configuración'!$C$7)-SUMIFS(tVinculos[Importe],tVinculos[Vinculado a],H125,tVinculos[Tipo],"Devolución deuda",tVinculos[Fecha],"&gt;="&amp;'Configuración'!$C$6,tVinculos[Fecha],"&lt;="&amp;'Configuración'!$C$7))</f>
        <v/>
      </c>
    </row>
    <row r="126" ht="27.75" customHeight="1">
      <c r="A126" s="1"/>
      <c r="B126" s="10"/>
      <c r="C126" s="13"/>
      <c r="D126" s="13"/>
      <c r="E126" s="11"/>
      <c r="F126" s="14" t="str">
        <f>IF(B126="","",C126+SUMIFS(tMovimientos[Importe],tMovimientos[Destino],B126,tMovimientos[Fecha],"&gt;="&amp;'Configuración'!$C$6,tMovimientos[Fecha],"&lt;="&amp;'Configuración'!$C$7)-SUMIFS(tMovimientos[Importe],tMovimientos[Origen],B126,tMovimientos[Fecha],"&gt;="&amp;'Configuración'!$C$6,tMovimientos[Fecha],"&lt;="&amp;'Configuración'!$C$7))</f>
        <v/>
      </c>
      <c r="G126" s="1"/>
      <c r="H126" s="10"/>
      <c r="I126" s="10"/>
      <c r="J126" s="13"/>
      <c r="K126" s="14" t="str">
        <f>IF(H126="","",J126+SUMIFS(tVinculos[Importe],tVinculos[Vinculado a],H126,tVinculos[Tipo],"Préstamo recibido",tVinculos[Fecha],"&gt;="&amp;'Configuración'!$C$6,tVinculos[Fecha],"&lt;="&amp;'Configuración'!$C$7)-SUMIFS(tVinculos[Importe],tVinculos[Vinculado a],H126,tVinculos[Tipo],"Devolución deuda",tVinculos[Fecha],"&gt;="&amp;'Configuración'!$C$6,tVinculos[Fecha],"&lt;="&amp;'Configuración'!$C$7))</f>
        <v/>
      </c>
    </row>
    <row r="127" ht="27.75" customHeight="1">
      <c r="A127" s="1"/>
      <c r="B127" s="10"/>
      <c r="C127" s="13"/>
      <c r="D127" s="13"/>
      <c r="E127" s="11"/>
      <c r="F127" s="14" t="str">
        <f>IF(B127="","",C127+SUMIFS(tMovimientos[Importe],tMovimientos[Destino],B127,tMovimientos[Fecha],"&gt;="&amp;'Configuración'!$C$6,tMovimientos[Fecha],"&lt;="&amp;'Configuración'!$C$7)-SUMIFS(tMovimientos[Importe],tMovimientos[Origen],B127,tMovimientos[Fecha],"&gt;="&amp;'Configuración'!$C$6,tMovimientos[Fecha],"&lt;="&amp;'Configuración'!$C$7))</f>
        <v/>
      </c>
      <c r="G127" s="1"/>
      <c r="H127" s="10"/>
      <c r="I127" s="10"/>
      <c r="J127" s="13"/>
      <c r="K127" s="14" t="str">
        <f>IF(H127="","",J127+SUMIFS(tVinculos[Importe],tVinculos[Vinculado a],H127,tVinculos[Tipo],"Préstamo recibido",tVinculos[Fecha],"&gt;="&amp;'Configuración'!$C$6,tVinculos[Fecha],"&lt;="&amp;'Configuración'!$C$7)-SUMIFS(tVinculos[Importe],tVinculos[Vinculado a],H127,tVinculos[Tipo],"Devolución deuda",tVinculos[Fecha],"&gt;="&amp;'Configuración'!$C$6,tVinculos[Fecha],"&lt;="&amp;'Configuración'!$C$7))</f>
        <v/>
      </c>
    </row>
    <row r="128" ht="27.75" customHeight="1">
      <c r="A128" s="1"/>
      <c r="B128" s="10"/>
      <c r="C128" s="13"/>
      <c r="D128" s="13"/>
      <c r="E128" s="11"/>
      <c r="F128" s="14" t="str">
        <f>IF(B128="","",C128+SUMIFS(tMovimientos[Importe],tMovimientos[Destino],B128,tMovimientos[Fecha],"&gt;="&amp;'Configuración'!$C$6,tMovimientos[Fecha],"&lt;="&amp;'Configuración'!$C$7)-SUMIFS(tMovimientos[Importe],tMovimientos[Origen],B128,tMovimientos[Fecha],"&gt;="&amp;'Configuración'!$C$6,tMovimientos[Fecha],"&lt;="&amp;'Configuración'!$C$7))</f>
        <v/>
      </c>
      <c r="G128" s="1"/>
      <c r="H128" s="10"/>
      <c r="I128" s="10"/>
      <c r="J128" s="13"/>
      <c r="K128" s="14" t="str">
        <f>IF(H128="","",J128+SUMIFS(tVinculos[Importe],tVinculos[Vinculado a],H128,tVinculos[Tipo],"Préstamo recibido",tVinculos[Fecha],"&gt;="&amp;'Configuración'!$C$6,tVinculos[Fecha],"&lt;="&amp;'Configuración'!$C$7)-SUMIFS(tVinculos[Importe],tVinculos[Vinculado a],H128,tVinculos[Tipo],"Devolución deuda",tVinculos[Fecha],"&gt;="&amp;'Configuración'!$C$6,tVinculos[Fecha],"&lt;="&amp;'Configuración'!$C$7))</f>
        <v/>
      </c>
    </row>
    <row r="129" ht="24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24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24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30.0" customHeight="1">
      <c r="A132" s="1"/>
      <c r="B132" s="37" t="s">
        <v>159</v>
      </c>
      <c r="G132" s="1"/>
      <c r="H132" s="1"/>
      <c r="I132" s="1"/>
      <c r="J132" s="1"/>
      <c r="K132" s="1"/>
    </row>
    <row r="133" ht="24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37.5" customHeight="1">
      <c r="A134" s="1"/>
      <c r="B134" s="4" t="s">
        <v>52</v>
      </c>
      <c r="C134" s="4" t="s">
        <v>160</v>
      </c>
      <c r="D134" s="4" t="s">
        <v>4</v>
      </c>
      <c r="E134" s="4" t="s">
        <v>6</v>
      </c>
      <c r="F134" s="4" t="s">
        <v>14</v>
      </c>
      <c r="G134" s="1"/>
      <c r="H134" s="1"/>
      <c r="I134" s="1"/>
      <c r="J134" s="1"/>
      <c r="K134" s="1"/>
    </row>
    <row r="135" ht="27.75" customHeight="1">
      <c r="A135" s="1"/>
      <c r="B135" s="20"/>
      <c r="C135" s="20"/>
      <c r="D135" s="46" t="str">
        <f>IF(B135="","",SUMIFS(tMovimientos[Fecha],tMovimientos[ID],B135))</f>
        <v/>
      </c>
      <c r="E135" s="63" t="str">
        <f t="array" ref="E135">IF(B135="","",INDEX(tMovimientos[Tipo],MATCH(B135,tMovimientos[ID],0)))</f>
        <v/>
      </c>
      <c r="F135" s="9" t="str">
        <f>IF(B135="","",SUMIFS(tMovimientos[Importe],tMovimientos[ID],B135))</f>
        <v/>
      </c>
      <c r="G135" s="1"/>
      <c r="H135" s="1"/>
      <c r="I135" s="1"/>
      <c r="J135" s="1"/>
      <c r="K135" s="1"/>
    </row>
    <row r="136" ht="27.75" customHeight="1">
      <c r="A136" s="1"/>
      <c r="B136" s="10"/>
      <c r="C136" s="10"/>
      <c r="D136" s="47" t="str">
        <f>IF(B136="","",SUMIFS(tMovimientos[Fecha],tMovimientos[ID],B136))</f>
        <v/>
      </c>
      <c r="E136" s="64" t="str">
        <f t="array" ref="E136">IF(B136="","",INDEX(tMovimientos[Tipo],MATCH(B136,tMovimientos[ID],0)))</f>
        <v/>
      </c>
      <c r="F136" s="14" t="str">
        <f>IF(B136="","",SUMIFS(tMovimientos[Importe],tMovimientos[ID],B136))</f>
        <v/>
      </c>
      <c r="G136" s="1"/>
      <c r="H136" s="1"/>
      <c r="I136" s="1"/>
      <c r="J136" s="1"/>
      <c r="K136" s="1"/>
    </row>
    <row r="137" ht="27.75" customHeight="1">
      <c r="A137" s="1"/>
      <c r="B137" s="5"/>
      <c r="C137" s="5"/>
      <c r="D137" s="46" t="str">
        <f>IF(B137="","",SUMIFS(tMovimientos[Fecha],tMovimientos[ID],B137))</f>
        <v/>
      </c>
      <c r="E137" s="63" t="str">
        <f t="array" ref="E137">IF(B137="","",INDEX(tMovimientos[Tipo],MATCH(B137,tMovimientos[ID],0)))</f>
        <v/>
      </c>
      <c r="F137" s="9" t="str">
        <f>IF(B137="","",SUMIFS(tMovimientos[Importe],tMovimientos[ID],B137))</f>
        <v/>
      </c>
      <c r="G137" s="1"/>
      <c r="H137" s="1"/>
      <c r="I137" s="1"/>
      <c r="J137" s="1"/>
      <c r="K137" s="1"/>
    </row>
    <row r="138" ht="27.75" customHeight="1">
      <c r="A138" s="1"/>
      <c r="B138" s="10"/>
      <c r="C138" s="10"/>
      <c r="D138" s="47" t="str">
        <f>IF(B138="","",SUMIFS(tMovimientos[Fecha],tMovimientos[ID],B138))</f>
        <v/>
      </c>
      <c r="E138" s="64" t="str">
        <f t="array" ref="E138">IF(B138="","",INDEX(tMovimientos[Tipo],MATCH(B138,tMovimientos[ID],0)))</f>
        <v/>
      </c>
      <c r="F138" s="14" t="str">
        <f>IF(B138="","",SUMIFS(tMovimientos[Importe],tMovimientos[ID],B138))</f>
        <v/>
      </c>
      <c r="G138" s="1"/>
      <c r="H138" s="1"/>
      <c r="I138" s="1"/>
      <c r="J138" s="1"/>
      <c r="K138" s="1"/>
    </row>
    <row r="139" ht="27.75" customHeight="1">
      <c r="A139" s="1"/>
      <c r="B139" s="5"/>
      <c r="C139" s="5"/>
      <c r="D139" s="46" t="str">
        <f>IF(B139="","",SUMIFS(tMovimientos[Fecha],tMovimientos[ID],B139))</f>
        <v/>
      </c>
      <c r="E139" s="63" t="str">
        <f t="array" ref="E139">IF(B139="","",INDEX(tMovimientos[Tipo],MATCH(B139,tMovimientos[ID],0)))</f>
        <v/>
      </c>
      <c r="F139" s="9" t="str">
        <f>IF(B139="","",SUMIFS(tMovimientos[Importe],tMovimientos[ID],B139))</f>
        <v/>
      </c>
      <c r="G139" s="1"/>
      <c r="H139" s="1"/>
      <c r="I139" s="1"/>
      <c r="J139" s="1"/>
      <c r="K139" s="1"/>
    </row>
    <row r="140" ht="27.75" customHeight="1">
      <c r="A140" s="1"/>
      <c r="B140" s="10"/>
      <c r="C140" s="10"/>
      <c r="D140" s="47" t="str">
        <f>IF(B140="","",SUMIFS(tMovimientos[Fecha],tMovimientos[ID],B140))</f>
        <v/>
      </c>
      <c r="E140" s="64" t="str">
        <f t="array" ref="E140">IF(B140="","",INDEX(tMovimientos[Tipo],MATCH(B140,tMovimientos[ID],0)))</f>
        <v/>
      </c>
      <c r="F140" s="14" t="str">
        <f>IF(B140="","",SUMIFS(tMovimientos[Importe],tMovimientos[ID],B140))</f>
        <v/>
      </c>
      <c r="G140" s="1"/>
      <c r="H140" s="1"/>
      <c r="I140" s="1"/>
      <c r="J140" s="1"/>
      <c r="K140" s="1"/>
    </row>
    <row r="141" ht="27.75" customHeight="1">
      <c r="A141" s="1"/>
      <c r="B141" s="5"/>
      <c r="C141" s="5"/>
      <c r="D141" s="46" t="str">
        <f>IF(B141="","",SUMIFS(tMovimientos[Fecha],tMovimientos[ID],B141))</f>
        <v/>
      </c>
      <c r="E141" s="63" t="str">
        <f t="array" ref="E141">IF(B141="","",INDEX(tMovimientos[Tipo],MATCH(B141,tMovimientos[ID],0)))</f>
        <v/>
      </c>
      <c r="F141" s="9" t="str">
        <f>IF(B141="","",SUMIFS(tMovimientos[Importe],tMovimientos[ID],B141))</f>
        <v/>
      </c>
      <c r="G141" s="1"/>
      <c r="H141" s="1"/>
      <c r="I141" s="1"/>
      <c r="J141" s="1"/>
      <c r="K141" s="1"/>
    </row>
    <row r="142" ht="27.75" customHeight="1">
      <c r="A142" s="1"/>
      <c r="B142" s="10"/>
      <c r="C142" s="10"/>
      <c r="D142" s="47" t="str">
        <f>IF(B142="","",SUMIFS(tMovimientos[Fecha],tMovimientos[ID],B142))</f>
        <v/>
      </c>
      <c r="E142" s="64" t="str">
        <f t="array" ref="E142">IF(B142="","",INDEX(tMovimientos[Tipo],MATCH(B142,tMovimientos[ID],0)))</f>
        <v/>
      </c>
      <c r="F142" s="14" t="str">
        <f>IF(B142="","",SUMIFS(tMovimientos[Importe],tMovimientos[ID],B142))</f>
        <v/>
      </c>
      <c r="G142" s="1"/>
      <c r="H142" s="1"/>
      <c r="I142" s="1"/>
      <c r="J142" s="1"/>
      <c r="K142" s="1"/>
    </row>
    <row r="143" ht="27.75" customHeight="1">
      <c r="A143" s="1"/>
      <c r="B143" s="5"/>
      <c r="C143" s="5"/>
      <c r="D143" s="46" t="str">
        <f>IF(B143="","",SUMIFS(tMovimientos[Fecha],tMovimientos[ID],B143))</f>
        <v/>
      </c>
      <c r="E143" s="63" t="str">
        <f t="array" ref="E143">IF(B143="","",INDEX(tMovimientos[Tipo],MATCH(B143,tMovimientos[ID],0)))</f>
        <v/>
      </c>
      <c r="F143" s="9" t="str">
        <f>IF(B143="","",SUMIFS(tMovimientos[Importe],tMovimientos[ID],B143))</f>
        <v/>
      </c>
      <c r="G143" s="1"/>
      <c r="H143" s="1"/>
      <c r="I143" s="1"/>
      <c r="J143" s="1"/>
      <c r="K143" s="1"/>
    </row>
    <row r="144" ht="27.75" customHeight="1">
      <c r="A144" s="1"/>
      <c r="B144" s="10"/>
      <c r="C144" s="10"/>
      <c r="D144" s="47" t="str">
        <f>IF(B144="","",SUMIFS(tMovimientos[Fecha],tMovimientos[ID],B144))</f>
        <v/>
      </c>
      <c r="E144" s="64" t="str">
        <f t="array" ref="E144">IF(B144="","",INDEX(tMovimientos[Tipo],MATCH(B144,tMovimientos[ID],0)))</f>
        <v/>
      </c>
      <c r="F144" s="14" t="str">
        <f>IF(B144="","",SUMIFS(tMovimientos[Importe],tMovimientos[ID],B144))</f>
        <v/>
      </c>
      <c r="G144" s="1"/>
      <c r="H144" s="1"/>
      <c r="I144" s="1"/>
      <c r="J144" s="1"/>
      <c r="K144" s="1"/>
    </row>
    <row r="145" ht="27.75" customHeight="1">
      <c r="A145" s="1"/>
      <c r="B145" s="5"/>
      <c r="C145" s="5"/>
      <c r="D145" s="46" t="str">
        <f>IF(B145="","",SUMIFS(tMovimientos[Fecha],tMovimientos[ID],B145))</f>
        <v/>
      </c>
      <c r="E145" s="63" t="str">
        <f t="array" ref="E145">IF(B145="","",INDEX(tMovimientos[Tipo],MATCH(B145,tMovimientos[ID],0)))</f>
        <v/>
      </c>
      <c r="F145" s="9" t="str">
        <f>IF(B145="","",SUMIFS(tMovimientos[Importe],tMovimientos[ID],B145))</f>
        <v/>
      </c>
      <c r="G145" s="1"/>
      <c r="H145" s="1"/>
      <c r="I145" s="1"/>
      <c r="J145" s="1"/>
      <c r="K145" s="1"/>
    </row>
    <row r="146" ht="27.75" customHeight="1">
      <c r="A146" s="1"/>
      <c r="B146" s="10"/>
      <c r="C146" s="10"/>
      <c r="D146" s="47" t="str">
        <f>IF(B146="","",SUMIFS(tMovimientos[Fecha],tMovimientos[ID],B146))</f>
        <v/>
      </c>
      <c r="E146" s="64" t="str">
        <f t="array" ref="E146">IF(B146="","",INDEX(tMovimientos[Tipo],MATCH(B146,tMovimientos[ID],0)))</f>
        <v/>
      </c>
      <c r="F146" s="14" t="str">
        <f>IF(B146="","",SUMIFS(tMovimientos[Importe],tMovimientos[ID],B146))</f>
        <v/>
      </c>
      <c r="G146" s="1"/>
      <c r="H146" s="1"/>
      <c r="I146" s="1"/>
      <c r="J146" s="1"/>
      <c r="K146" s="1"/>
    </row>
    <row r="147" ht="27.75" customHeight="1">
      <c r="A147" s="1"/>
      <c r="B147" s="5"/>
      <c r="C147" s="5"/>
      <c r="D147" s="46" t="str">
        <f>IF(B147="","",SUMIFS(tMovimientos[Fecha],tMovimientos[ID],B147))</f>
        <v/>
      </c>
      <c r="E147" s="63" t="str">
        <f t="array" ref="E147">IF(B147="","",INDEX(tMovimientos[Tipo],MATCH(B147,tMovimientos[ID],0)))</f>
        <v/>
      </c>
      <c r="F147" s="9" t="str">
        <f>IF(B147="","",SUMIFS(tMovimientos[Importe],tMovimientos[ID],B147))</f>
        <v/>
      </c>
      <c r="G147" s="1"/>
      <c r="H147" s="1"/>
      <c r="I147" s="1"/>
      <c r="J147" s="1"/>
      <c r="K147" s="1"/>
    </row>
    <row r="148" ht="27.75" customHeight="1">
      <c r="A148" s="1"/>
      <c r="B148" s="10"/>
      <c r="C148" s="10"/>
      <c r="D148" s="47" t="str">
        <f>IF(B148="","",SUMIFS(tMovimientos[Fecha],tMovimientos[ID],B148))</f>
        <v/>
      </c>
      <c r="E148" s="64" t="str">
        <f t="array" ref="E148">IF(B148="","",INDEX(tMovimientos[Tipo],MATCH(B148,tMovimientos[ID],0)))</f>
        <v/>
      </c>
      <c r="F148" s="14" t="str">
        <f>IF(B148="","",SUMIFS(tMovimientos[Importe],tMovimientos[ID],B148))</f>
        <v/>
      </c>
      <c r="G148" s="1"/>
      <c r="H148" s="1"/>
      <c r="I148" s="1"/>
      <c r="J148" s="1"/>
      <c r="K148" s="1"/>
    </row>
    <row r="149" ht="27.75" customHeight="1">
      <c r="A149" s="1"/>
      <c r="B149" s="5"/>
      <c r="C149" s="5"/>
      <c r="D149" s="46" t="str">
        <f>IF(B149="","",SUMIFS(tMovimientos[Fecha],tMovimientos[ID],B149))</f>
        <v/>
      </c>
      <c r="E149" s="63" t="str">
        <f t="array" ref="E149">IF(B149="","",INDEX(tMovimientos[Tipo],MATCH(B149,tMovimientos[ID],0)))</f>
        <v/>
      </c>
      <c r="F149" s="9" t="str">
        <f>IF(B149="","",SUMIFS(tMovimientos[Importe],tMovimientos[ID],B149))</f>
        <v/>
      </c>
      <c r="G149" s="1"/>
      <c r="H149" s="1"/>
      <c r="I149" s="1"/>
      <c r="J149" s="1"/>
      <c r="K149" s="1"/>
    </row>
    <row r="150" ht="27.75" customHeight="1">
      <c r="A150" s="1"/>
      <c r="B150" s="10"/>
      <c r="C150" s="10"/>
      <c r="D150" s="47" t="str">
        <f>IF(B150="","",SUMIFS(tMovimientos[Fecha],tMovimientos[ID],B150))</f>
        <v/>
      </c>
      <c r="E150" s="64" t="str">
        <f t="array" ref="E150">IF(B150="","",INDEX(tMovimientos[Tipo],MATCH(B150,tMovimientos[ID],0)))</f>
        <v/>
      </c>
      <c r="F150" s="14" t="str">
        <f>IF(B150="","",SUMIFS(tMovimientos[Importe],tMovimientos[ID],B150))</f>
        <v/>
      </c>
      <c r="G150" s="1"/>
      <c r="H150" s="1"/>
      <c r="I150" s="1"/>
      <c r="J150" s="1"/>
      <c r="K150" s="1"/>
    </row>
    <row r="151" ht="27.75" customHeight="1">
      <c r="A151" s="1"/>
      <c r="B151" s="5"/>
      <c r="C151" s="5"/>
      <c r="D151" s="46" t="str">
        <f>IF(B151="","",SUMIFS(tMovimientos[Fecha],tMovimientos[ID],B151))</f>
        <v/>
      </c>
      <c r="E151" s="63" t="str">
        <f t="array" ref="E151">IF(B151="","",INDEX(tMovimientos[Tipo],MATCH(B151,tMovimientos[ID],0)))</f>
        <v/>
      </c>
      <c r="F151" s="9" t="str">
        <f>IF(B151="","",SUMIFS(tMovimientos[Importe],tMovimientos[ID],B151))</f>
        <v/>
      </c>
      <c r="G151" s="1"/>
      <c r="H151" s="1"/>
      <c r="I151" s="1"/>
      <c r="J151" s="1"/>
      <c r="K151" s="1"/>
    </row>
    <row r="152" ht="27.75" customHeight="1">
      <c r="A152" s="1"/>
      <c r="B152" s="10"/>
      <c r="C152" s="10"/>
      <c r="D152" s="47" t="str">
        <f>IF(B152="","",SUMIFS(tMovimientos[Fecha],tMovimientos[ID],B152))</f>
        <v/>
      </c>
      <c r="E152" s="64" t="str">
        <f t="array" ref="E152">IF(B152="","",INDEX(tMovimientos[Tipo],MATCH(B152,tMovimientos[ID],0)))</f>
        <v/>
      </c>
      <c r="F152" s="14" t="str">
        <f>IF(B152="","",SUMIFS(tMovimientos[Importe],tMovimientos[ID],B152))</f>
        <v/>
      </c>
      <c r="G152" s="1"/>
      <c r="H152" s="1"/>
      <c r="I152" s="1"/>
      <c r="J152" s="1"/>
      <c r="K152" s="1"/>
    </row>
    <row r="153" ht="27.75" customHeight="1">
      <c r="A153" s="1"/>
      <c r="B153" s="5"/>
      <c r="C153" s="5"/>
      <c r="D153" s="46" t="str">
        <f>IF(B153="","",SUMIFS(tMovimientos[Fecha],tMovimientos[ID],B153))</f>
        <v/>
      </c>
      <c r="E153" s="63" t="str">
        <f t="array" ref="E153">IF(B153="","",INDEX(tMovimientos[Tipo],MATCH(B153,tMovimientos[ID],0)))</f>
        <v/>
      </c>
      <c r="F153" s="9" t="str">
        <f>IF(B153="","",SUMIFS(tMovimientos[Importe],tMovimientos[ID],B153))</f>
        <v/>
      </c>
      <c r="G153" s="1"/>
      <c r="H153" s="1"/>
      <c r="I153" s="1"/>
      <c r="J153" s="1"/>
      <c r="K153" s="1"/>
    </row>
    <row r="154" ht="27.75" customHeight="1">
      <c r="A154" s="1"/>
      <c r="B154" s="10"/>
      <c r="C154" s="10"/>
      <c r="D154" s="47" t="str">
        <f>IF(B154="","",SUMIFS(tMovimientos[Fecha],tMovimientos[ID],B154))</f>
        <v/>
      </c>
      <c r="E154" s="64" t="str">
        <f t="array" ref="E154">IF(B154="","",INDEX(tMovimientos[Tipo],MATCH(B154,tMovimientos[ID],0)))</f>
        <v/>
      </c>
      <c r="F154" s="14" t="str">
        <f>IF(B154="","",SUMIFS(tMovimientos[Importe],tMovimientos[ID],B154))</f>
        <v/>
      </c>
      <c r="G154" s="1"/>
      <c r="H154" s="1"/>
      <c r="I154" s="1"/>
      <c r="J154" s="1"/>
      <c r="K154" s="1"/>
    </row>
    <row r="155" ht="27.75" customHeight="1">
      <c r="A155" s="1"/>
      <c r="B155" s="10"/>
      <c r="C155" s="10"/>
      <c r="D155" s="47" t="str">
        <f>IF(B155="","",SUMIFS(tMovimientos[Fecha],tMovimientos[ID],B155))</f>
        <v/>
      </c>
      <c r="E155" s="64" t="str">
        <f t="array" ref="E155">IF(B155="","",INDEX(tMovimientos[Tipo],MATCH(B155,tMovimientos[ID],0)))</f>
        <v/>
      </c>
      <c r="F155" s="14" t="str">
        <f>IF(B155="","",SUMIFS(tMovimientos[Importe],tMovimientos[ID],B155))</f>
        <v/>
      </c>
      <c r="G155" s="1"/>
      <c r="H155" s="1"/>
      <c r="I155" s="1"/>
      <c r="J155" s="1"/>
      <c r="K155" s="1"/>
    </row>
    <row r="156" ht="27.75" customHeight="1">
      <c r="A156" s="1"/>
      <c r="B156" s="10"/>
      <c r="C156" s="10"/>
      <c r="D156" s="47" t="str">
        <f>IF(B156="","",SUMIFS(tMovimientos[Fecha],tMovimientos[ID],B156))</f>
        <v/>
      </c>
      <c r="E156" s="64" t="str">
        <f t="array" ref="E156">IF(B156="","",INDEX(tMovimientos[Tipo],MATCH(B156,tMovimientos[ID],0)))</f>
        <v/>
      </c>
      <c r="F156" s="14" t="str">
        <f>IF(B156="","",SUMIFS(tMovimientos[Importe],tMovimientos[ID],B156))</f>
        <v/>
      </c>
      <c r="G156" s="1"/>
      <c r="H156" s="1"/>
      <c r="I156" s="1"/>
      <c r="J156" s="1"/>
      <c r="K156" s="1"/>
    </row>
    <row r="157" ht="27.75" customHeight="1">
      <c r="A157" s="1"/>
      <c r="B157" s="10"/>
      <c r="C157" s="10"/>
      <c r="D157" s="47" t="str">
        <f>IF(B157="","",SUMIFS(tMovimientos[Fecha],tMovimientos[ID],B157))</f>
        <v/>
      </c>
      <c r="E157" s="64" t="str">
        <f t="array" ref="E157">IF(B157="","",INDEX(tMovimientos[Tipo],MATCH(B157,tMovimientos[ID],0)))</f>
        <v/>
      </c>
      <c r="F157" s="14" t="str">
        <f>IF(B157="","",SUMIFS(tMovimientos[Importe],tMovimientos[ID],B157))</f>
        <v/>
      </c>
      <c r="G157" s="1"/>
      <c r="H157" s="1"/>
      <c r="I157" s="1"/>
      <c r="J157" s="1"/>
      <c r="K157" s="1"/>
    </row>
    <row r="158" ht="27.75" customHeight="1">
      <c r="A158" s="1"/>
      <c r="B158" s="10"/>
      <c r="C158" s="10"/>
      <c r="D158" s="47" t="str">
        <f>IF(B158="","",SUMIFS(tMovimientos[Fecha],tMovimientos[ID],B158))</f>
        <v/>
      </c>
      <c r="E158" s="64" t="str">
        <f t="array" ref="E158">IF(B158="","",INDEX(tMovimientos[Tipo],MATCH(B158,tMovimientos[ID],0)))</f>
        <v/>
      </c>
      <c r="F158" s="14" t="str">
        <f>IF(B158="","",SUMIFS(tMovimientos[Importe],tMovimientos[ID],B158))</f>
        <v/>
      </c>
      <c r="G158" s="1"/>
      <c r="H158" s="1"/>
      <c r="I158" s="1"/>
      <c r="J158" s="1"/>
      <c r="K158" s="1"/>
    </row>
    <row r="159" ht="27.75" customHeight="1">
      <c r="A159" s="1"/>
      <c r="B159" s="10"/>
      <c r="C159" s="10"/>
      <c r="D159" s="47" t="str">
        <f>IF(B159="","",SUMIFS(tMovimientos[Fecha],tMovimientos[ID],B159))</f>
        <v/>
      </c>
      <c r="E159" s="64" t="str">
        <f t="array" ref="E159">IF(B159="","",INDEX(tMovimientos[Tipo],MATCH(B159,tMovimientos[ID],0)))</f>
        <v/>
      </c>
      <c r="F159" s="14" t="str">
        <f>IF(B159="","",SUMIFS(tMovimientos[Importe],tMovimientos[ID],B159))</f>
        <v/>
      </c>
      <c r="G159" s="1"/>
      <c r="H159" s="1"/>
      <c r="I159" s="1"/>
      <c r="J159" s="1"/>
      <c r="K159" s="1"/>
    </row>
    <row r="160" ht="27.75" customHeight="1">
      <c r="A160" s="1"/>
      <c r="B160" s="10"/>
      <c r="C160" s="10"/>
      <c r="D160" s="47" t="str">
        <f>IF(B160="","",SUMIFS(tMovimientos[Fecha],tMovimientos[ID],B160))</f>
        <v/>
      </c>
      <c r="E160" s="64" t="str">
        <f t="array" ref="E160">IF(B160="","",INDEX(tMovimientos[Tipo],MATCH(B160,tMovimientos[ID],0)))</f>
        <v/>
      </c>
      <c r="F160" s="14" t="str">
        <f>IF(B160="","",SUMIFS(tMovimientos[Importe],tMovimientos[ID],B160))</f>
        <v/>
      </c>
      <c r="G160" s="1"/>
      <c r="H160" s="1"/>
      <c r="I160" s="1"/>
      <c r="J160" s="1"/>
      <c r="K160" s="1"/>
    </row>
    <row r="161" ht="27.75" customHeight="1">
      <c r="A161" s="1"/>
      <c r="B161" s="10"/>
      <c r="C161" s="10"/>
      <c r="D161" s="47" t="str">
        <f>IF(B161="","",SUMIFS(tMovimientos[Fecha],tMovimientos[ID],B161))</f>
        <v/>
      </c>
      <c r="E161" s="64" t="str">
        <f t="array" ref="E161">IF(B161="","",INDEX(tMovimientos[Tipo],MATCH(B161,tMovimientos[ID],0)))</f>
        <v/>
      </c>
      <c r="F161" s="14" t="str">
        <f>IF(B161="","",SUMIFS(tMovimientos[Importe],tMovimientos[ID],B161))</f>
        <v/>
      </c>
      <c r="G161" s="1"/>
      <c r="H161" s="1"/>
      <c r="I161" s="1"/>
      <c r="J161" s="1"/>
      <c r="K161" s="1"/>
    </row>
    <row r="162" ht="27.75" customHeight="1">
      <c r="A162" s="1"/>
      <c r="B162" s="10"/>
      <c r="C162" s="10"/>
      <c r="D162" s="47" t="str">
        <f>IF(B162="","",SUMIFS(tMovimientos[Fecha],tMovimientos[ID],B162))</f>
        <v/>
      </c>
      <c r="E162" s="64" t="str">
        <f t="array" ref="E162">IF(B162="","",INDEX(tMovimientos[Tipo],MATCH(B162,tMovimientos[ID],0)))</f>
        <v/>
      </c>
      <c r="F162" s="14" t="str">
        <f>IF(B162="","",SUMIFS(tMovimientos[Importe],tMovimientos[ID],B162))</f>
        <v/>
      </c>
      <c r="G162" s="1"/>
      <c r="H162" s="1"/>
      <c r="I162" s="1"/>
      <c r="J162" s="1"/>
      <c r="K162" s="1"/>
    </row>
    <row r="163" ht="27.75" customHeight="1">
      <c r="A163" s="1"/>
      <c r="B163" s="10"/>
      <c r="C163" s="10"/>
      <c r="D163" s="47" t="str">
        <f>IF(B163="","",SUMIFS(tMovimientos[Fecha],tMovimientos[ID],B163))</f>
        <v/>
      </c>
      <c r="E163" s="64" t="str">
        <f t="array" ref="E163">IF(B163="","",INDEX(tMovimientos[Tipo],MATCH(B163,tMovimientos[ID],0)))</f>
        <v/>
      </c>
      <c r="F163" s="14" t="str">
        <f>IF(B163="","",SUMIFS(tMovimientos[Importe],tMovimientos[ID],B163))</f>
        <v/>
      </c>
      <c r="G163" s="1"/>
      <c r="H163" s="1"/>
      <c r="I163" s="1"/>
      <c r="J163" s="1"/>
      <c r="K163" s="1"/>
    </row>
    <row r="164" ht="27.75" customHeight="1">
      <c r="A164" s="1"/>
      <c r="B164" s="10"/>
      <c r="C164" s="10"/>
      <c r="D164" s="47" t="str">
        <f>IF(B164="","",SUMIFS(tMovimientos[Fecha],tMovimientos[ID],B164))</f>
        <v/>
      </c>
      <c r="E164" s="64" t="str">
        <f t="array" ref="E164">IF(B164="","",INDEX(tMovimientos[Tipo],MATCH(B164,tMovimientos[ID],0)))</f>
        <v/>
      </c>
      <c r="F164" s="14" t="str">
        <f>IF(B164="","",SUMIFS(tMovimientos[Importe],tMovimientos[ID],B164))</f>
        <v/>
      </c>
      <c r="G164" s="1"/>
      <c r="H164" s="1"/>
      <c r="I164" s="1"/>
      <c r="J164" s="1"/>
      <c r="K164" s="1"/>
    </row>
    <row r="165" ht="27.75" customHeight="1">
      <c r="A165" s="1"/>
      <c r="B165" s="10"/>
      <c r="C165" s="10"/>
      <c r="D165" s="47" t="str">
        <f>IF(B165="","",SUMIFS(tMovimientos[Fecha],tMovimientos[ID],B165))</f>
        <v/>
      </c>
      <c r="E165" s="64" t="str">
        <f t="array" ref="E165">IF(B165="","",INDEX(tMovimientos[Tipo],MATCH(B165,tMovimientos[ID],0)))</f>
        <v/>
      </c>
      <c r="F165" s="14" t="str">
        <f>IF(B165="","",SUMIFS(tMovimientos[Importe],tMovimientos[ID],B165))</f>
        <v/>
      </c>
      <c r="G165" s="1"/>
      <c r="H165" s="1"/>
      <c r="I165" s="1"/>
      <c r="J165" s="1"/>
      <c r="K165" s="1"/>
    </row>
    <row r="166" ht="27.75" customHeight="1">
      <c r="A166" s="1"/>
      <c r="B166" s="10"/>
      <c r="C166" s="10"/>
      <c r="D166" s="47" t="str">
        <f>IF(B166="","",SUMIFS(tMovimientos[Fecha],tMovimientos[ID],B166))</f>
        <v/>
      </c>
      <c r="E166" s="64" t="str">
        <f t="array" ref="E166">IF(B166="","",INDEX(tMovimientos[Tipo],MATCH(B166,tMovimientos[ID],0)))</f>
        <v/>
      </c>
      <c r="F166" s="14" t="str">
        <f>IF(B166="","",SUMIFS(tMovimientos[Importe],tMovimientos[ID],B166))</f>
        <v/>
      </c>
      <c r="G166" s="1"/>
      <c r="H166" s="1"/>
      <c r="I166" s="1"/>
      <c r="J166" s="1"/>
      <c r="K166" s="1"/>
    </row>
    <row r="167" ht="27.75" customHeight="1">
      <c r="A167" s="1"/>
      <c r="B167" s="10"/>
      <c r="C167" s="10"/>
      <c r="D167" s="47" t="str">
        <f>IF(B167="","",SUMIFS(tMovimientos[Fecha],tMovimientos[ID],B167))</f>
        <v/>
      </c>
      <c r="E167" s="64" t="str">
        <f t="array" ref="E167">IF(B167="","",INDEX(tMovimientos[Tipo],MATCH(B167,tMovimientos[ID],0)))</f>
        <v/>
      </c>
      <c r="F167" s="14" t="str">
        <f>IF(B167="","",SUMIFS(tMovimientos[Importe],tMovimientos[ID],B167))</f>
        <v/>
      </c>
      <c r="G167" s="1"/>
      <c r="H167" s="1"/>
      <c r="I167" s="1"/>
      <c r="J167" s="1"/>
      <c r="K167" s="1"/>
    </row>
    <row r="168" ht="27.75" customHeight="1">
      <c r="A168" s="1"/>
      <c r="B168" s="10"/>
      <c r="C168" s="10"/>
      <c r="D168" s="47" t="str">
        <f>IF(B168="","",SUMIFS(tMovimientos[Fecha],tMovimientos[ID],B168))</f>
        <v/>
      </c>
      <c r="E168" s="64" t="str">
        <f t="array" ref="E168">IF(B168="","",INDEX(tMovimientos[Tipo],MATCH(B168,tMovimientos[ID],0)))</f>
        <v/>
      </c>
      <c r="F168" s="14" t="str">
        <f>IF(B168="","",SUMIFS(tMovimientos[Importe],tMovimientos[ID],B168))</f>
        <v/>
      </c>
      <c r="G168" s="1"/>
      <c r="H168" s="1"/>
      <c r="I168" s="1"/>
      <c r="J168" s="1"/>
      <c r="K168" s="1"/>
    </row>
    <row r="169" ht="27.75" customHeight="1">
      <c r="A169" s="1"/>
      <c r="B169" s="10"/>
      <c r="C169" s="10"/>
      <c r="D169" s="47" t="str">
        <f>IF(B169="","",SUMIFS(tMovimientos[Fecha],tMovimientos[ID],B169))</f>
        <v/>
      </c>
      <c r="E169" s="64" t="str">
        <f t="array" ref="E169">IF(B169="","",INDEX(tMovimientos[Tipo],MATCH(B169,tMovimientos[ID],0)))</f>
        <v/>
      </c>
      <c r="F169" s="14" t="str">
        <f>IF(B169="","",SUMIFS(tMovimientos[Importe],tMovimientos[ID],B169))</f>
        <v/>
      </c>
      <c r="G169" s="1"/>
      <c r="H169" s="1"/>
      <c r="I169" s="1"/>
      <c r="J169" s="1"/>
      <c r="K169" s="1"/>
    </row>
    <row r="170" ht="27.75" customHeight="1">
      <c r="A170" s="1"/>
      <c r="B170" s="10"/>
      <c r="C170" s="10"/>
      <c r="D170" s="47" t="str">
        <f>IF(B170="","",SUMIFS(tMovimientos[Fecha],tMovimientos[ID],B170))</f>
        <v/>
      </c>
      <c r="E170" s="64" t="str">
        <f t="array" ref="E170">IF(B170="","",INDEX(tMovimientos[Tipo],MATCH(B170,tMovimientos[ID],0)))</f>
        <v/>
      </c>
      <c r="F170" s="14" t="str">
        <f>IF(B170="","",SUMIFS(tMovimientos[Importe],tMovimientos[ID],B170))</f>
        <v/>
      </c>
      <c r="G170" s="1"/>
      <c r="H170" s="1"/>
      <c r="I170" s="1"/>
      <c r="J170" s="1"/>
      <c r="K170" s="1"/>
    </row>
    <row r="171" ht="27.75" customHeight="1">
      <c r="A171" s="1"/>
      <c r="B171" s="10"/>
      <c r="C171" s="10"/>
      <c r="D171" s="47" t="str">
        <f>IF(B171="","",SUMIFS(tMovimientos[Fecha],tMovimientos[ID],B171))</f>
        <v/>
      </c>
      <c r="E171" s="64" t="str">
        <f t="array" ref="E171">IF(B171="","",INDEX(tMovimientos[Tipo],MATCH(B171,tMovimientos[ID],0)))</f>
        <v/>
      </c>
      <c r="F171" s="14" t="str">
        <f>IF(B171="","",SUMIFS(tMovimientos[Importe],tMovimientos[ID],B171))</f>
        <v/>
      </c>
      <c r="G171" s="1"/>
      <c r="H171" s="1"/>
      <c r="I171" s="1"/>
      <c r="J171" s="1"/>
      <c r="K171" s="1"/>
    </row>
    <row r="172" ht="27.75" customHeight="1">
      <c r="A172" s="1"/>
      <c r="B172" s="10"/>
      <c r="C172" s="10"/>
      <c r="D172" s="47" t="str">
        <f>IF(B172="","",SUMIFS(tMovimientos[Fecha],tMovimientos[ID],B172))</f>
        <v/>
      </c>
      <c r="E172" s="64" t="str">
        <f t="array" ref="E172">IF(B172="","",INDEX(tMovimientos[Tipo],MATCH(B172,tMovimientos[ID],0)))</f>
        <v/>
      </c>
      <c r="F172" s="14" t="str">
        <f>IF(B172="","",SUMIFS(tMovimientos[Importe],tMovimientos[ID],B172))</f>
        <v/>
      </c>
      <c r="G172" s="1"/>
      <c r="H172" s="1"/>
      <c r="I172" s="1"/>
      <c r="J172" s="1"/>
      <c r="K172" s="1"/>
    </row>
    <row r="173" ht="27.75" customHeight="1">
      <c r="A173" s="1"/>
      <c r="B173" s="10"/>
      <c r="C173" s="10"/>
      <c r="D173" s="47" t="str">
        <f>IF(B173="","",SUMIFS(tMovimientos[Fecha],tMovimientos[ID],B173))</f>
        <v/>
      </c>
      <c r="E173" s="64" t="str">
        <f t="array" ref="E173">IF(B173="","",INDEX(tMovimientos[Tipo],MATCH(B173,tMovimientos[ID],0)))</f>
        <v/>
      </c>
      <c r="F173" s="14" t="str">
        <f>IF(B173="","",SUMIFS(tMovimientos[Importe],tMovimientos[ID],B173))</f>
        <v/>
      </c>
      <c r="G173" s="1"/>
      <c r="H173" s="1"/>
      <c r="I173" s="1"/>
      <c r="J173" s="1"/>
      <c r="K173" s="1"/>
    </row>
    <row r="174" ht="27.75" customHeight="1">
      <c r="A174" s="1"/>
      <c r="B174" s="10"/>
      <c r="C174" s="10"/>
      <c r="D174" s="47" t="str">
        <f>IF(B174="","",SUMIFS(tMovimientos[Fecha],tMovimientos[ID],B174))</f>
        <v/>
      </c>
      <c r="E174" s="64" t="str">
        <f t="array" ref="E174">IF(B174="","",INDEX(tMovimientos[Tipo],MATCH(B174,tMovimientos[ID],0)))</f>
        <v/>
      </c>
      <c r="F174" s="14" t="str">
        <f>IF(B174="","",SUMIFS(tMovimientos[Importe],tMovimientos[ID],B174))</f>
        <v/>
      </c>
      <c r="G174" s="1"/>
      <c r="H174" s="1"/>
      <c r="I174" s="1"/>
      <c r="J174" s="1"/>
      <c r="K174" s="1"/>
    </row>
    <row r="175" ht="27.75" customHeight="1">
      <c r="A175" s="1"/>
      <c r="B175" s="10"/>
      <c r="C175" s="10"/>
      <c r="D175" s="47" t="str">
        <f>IF(B175="","",SUMIFS(tMovimientos[Fecha],tMovimientos[ID],B175))</f>
        <v/>
      </c>
      <c r="E175" s="64" t="str">
        <f t="array" ref="E175">IF(B175="","",INDEX(tMovimientos[Tipo],MATCH(B175,tMovimientos[ID],0)))</f>
        <v/>
      </c>
      <c r="F175" s="14" t="str">
        <f>IF(B175="","",SUMIFS(tMovimientos[Importe],tMovimientos[ID],B175))</f>
        <v/>
      </c>
      <c r="G175" s="1"/>
      <c r="H175" s="1"/>
      <c r="I175" s="1"/>
      <c r="J175" s="1"/>
      <c r="K175" s="1"/>
    </row>
    <row r="176" ht="27.75" customHeight="1">
      <c r="A176" s="1"/>
      <c r="B176" s="10"/>
      <c r="C176" s="10"/>
      <c r="D176" s="47" t="str">
        <f>IF(B176="","",SUMIFS(tMovimientos[Fecha],tMovimientos[ID],B176))</f>
        <v/>
      </c>
      <c r="E176" s="64" t="str">
        <f t="array" ref="E176">IF(B176="","",INDEX(tMovimientos[Tipo],MATCH(B176,tMovimientos[ID],0)))</f>
        <v/>
      </c>
      <c r="F176" s="14" t="str">
        <f>IF(B176="","",SUMIFS(tMovimientos[Importe],tMovimientos[ID],B176))</f>
        <v/>
      </c>
      <c r="G176" s="1"/>
      <c r="H176" s="1"/>
      <c r="I176" s="1"/>
      <c r="J176" s="1"/>
      <c r="K176" s="1"/>
    </row>
    <row r="177" ht="27.75" customHeight="1">
      <c r="A177" s="1"/>
      <c r="B177" s="10"/>
      <c r="C177" s="10"/>
      <c r="D177" s="47" t="str">
        <f>IF(B177="","",SUMIFS(tMovimientos[Fecha],tMovimientos[ID],B177))</f>
        <v/>
      </c>
      <c r="E177" s="64" t="str">
        <f t="array" ref="E177">IF(B177="","",INDEX(tMovimientos[Tipo],MATCH(B177,tMovimientos[ID],0)))</f>
        <v/>
      </c>
      <c r="F177" s="14" t="str">
        <f>IF(B177="","",SUMIFS(tMovimientos[Importe],tMovimientos[ID],B177))</f>
        <v/>
      </c>
      <c r="G177" s="1"/>
      <c r="H177" s="1"/>
      <c r="I177" s="1"/>
      <c r="J177" s="1"/>
      <c r="K177" s="1"/>
    </row>
    <row r="178" ht="27.75" customHeight="1">
      <c r="A178" s="1"/>
      <c r="B178" s="10"/>
      <c r="C178" s="10"/>
      <c r="D178" s="47" t="str">
        <f>IF(B178="","",SUMIFS(tMovimientos[Fecha],tMovimientos[ID],B178))</f>
        <v/>
      </c>
      <c r="E178" s="64" t="str">
        <f t="array" ref="E178">IF(B178="","",INDEX(tMovimientos[Tipo],MATCH(B178,tMovimientos[ID],0)))</f>
        <v/>
      </c>
      <c r="F178" s="14" t="str">
        <f>IF(B178="","",SUMIFS(tMovimientos[Importe],tMovimientos[ID],B178))</f>
        <v/>
      </c>
      <c r="G178" s="1"/>
      <c r="H178" s="1"/>
      <c r="I178" s="1"/>
      <c r="J178" s="1"/>
      <c r="K178" s="1"/>
    </row>
    <row r="179" ht="27.75" customHeight="1">
      <c r="A179" s="1"/>
      <c r="B179" s="10"/>
      <c r="C179" s="10"/>
      <c r="D179" s="47" t="str">
        <f>IF(B179="","",SUMIFS(tMovimientos[Fecha],tMovimientos[ID],B179))</f>
        <v/>
      </c>
      <c r="E179" s="64" t="str">
        <f t="array" ref="E179">IF(B179="","",INDEX(tMovimientos[Tipo],MATCH(B179,tMovimientos[ID],0)))</f>
        <v/>
      </c>
      <c r="F179" s="14" t="str">
        <f>IF(B179="","",SUMIFS(tMovimientos[Importe],tMovimientos[ID],B179))</f>
        <v/>
      </c>
      <c r="G179" s="1"/>
      <c r="H179" s="1"/>
      <c r="I179" s="1"/>
      <c r="J179" s="1"/>
      <c r="K179" s="1"/>
    </row>
    <row r="180" ht="27.75" customHeight="1">
      <c r="A180" s="1"/>
      <c r="B180" s="10"/>
      <c r="C180" s="10"/>
      <c r="D180" s="47" t="str">
        <f>IF(B180="","",SUMIFS(tMovimientos[Fecha],tMovimientos[ID],B180))</f>
        <v/>
      </c>
      <c r="E180" s="64" t="str">
        <f t="array" ref="E180">IF(B180="","",INDEX(tMovimientos[Tipo],MATCH(B180,tMovimientos[ID],0)))</f>
        <v/>
      </c>
      <c r="F180" s="14" t="str">
        <f>IF(B180="","",SUMIFS(tMovimientos[Importe],tMovimientos[ID],B180))</f>
        <v/>
      </c>
      <c r="G180" s="1"/>
      <c r="H180" s="1"/>
      <c r="I180" s="1"/>
      <c r="J180" s="1"/>
      <c r="K180" s="1"/>
    </row>
    <row r="181" ht="27.75" customHeight="1">
      <c r="A181" s="1"/>
      <c r="B181" s="10"/>
      <c r="C181" s="10"/>
      <c r="D181" s="47" t="str">
        <f>IF(B181="","",SUMIFS(tMovimientos[Fecha],tMovimientos[ID],B181))</f>
        <v/>
      </c>
      <c r="E181" s="64" t="str">
        <f t="array" ref="E181">IF(B181="","",INDEX(tMovimientos[Tipo],MATCH(B181,tMovimientos[ID],0)))</f>
        <v/>
      </c>
      <c r="F181" s="14" t="str">
        <f>IF(B181="","",SUMIFS(tMovimientos[Importe],tMovimientos[ID],B181))</f>
        <v/>
      </c>
      <c r="G181" s="1"/>
      <c r="H181" s="1"/>
      <c r="I181" s="1"/>
      <c r="J181" s="1"/>
      <c r="K181" s="1"/>
    </row>
    <row r="182" ht="27.75" customHeight="1">
      <c r="A182" s="1"/>
      <c r="B182" s="10"/>
      <c r="C182" s="10"/>
      <c r="D182" s="47" t="str">
        <f>IF(B182="","",SUMIFS(tMovimientos[Fecha],tMovimientos[ID],B182))</f>
        <v/>
      </c>
      <c r="E182" s="64" t="str">
        <f t="array" ref="E182">IF(B182="","",INDEX(tMovimientos[Tipo],MATCH(B182,tMovimientos[ID],0)))</f>
        <v/>
      </c>
      <c r="F182" s="14" t="str">
        <f>IF(B182="","",SUMIFS(tMovimientos[Importe],tMovimientos[ID],B182))</f>
        <v/>
      </c>
      <c r="G182" s="1"/>
      <c r="H182" s="1"/>
      <c r="I182" s="1"/>
      <c r="J182" s="1"/>
      <c r="K182" s="1"/>
    </row>
    <row r="183" ht="27.75" customHeight="1">
      <c r="A183" s="1"/>
      <c r="B183" s="10"/>
      <c r="C183" s="10"/>
      <c r="D183" s="47" t="str">
        <f>IF(B183="","",SUMIFS(tMovimientos[Fecha],tMovimientos[ID],B183))</f>
        <v/>
      </c>
      <c r="E183" s="64" t="str">
        <f t="array" ref="E183">IF(B183="","",INDEX(tMovimientos[Tipo],MATCH(B183,tMovimientos[ID],0)))</f>
        <v/>
      </c>
      <c r="F183" s="14" t="str">
        <f>IF(B183="","",SUMIFS(tMovimientos[Importe],tMovimientos[ID],B183))</f>
        <v/>
      </c>
      <c r="G183" s="1"/>
      <c r="H183" s="1"/>
      <c r="I183" s="1"/>
      <c r="J183" s="1"/>
      <c r="K183" s="1"/>
    </row>
    <row r="184" ht="27.75" customHeight="1">
      <c r="A184" s="1"/>
      <c r="B184" s="10"/>
      <c r="C184" s="10"/>
      <c r="D184" s="47" t="str">
        <f>IF(B184="","",SUMIFS(tMovimientos[Fecha],tMovimientos[ID],B184))</f>
        <v/>
      </c>
      <c r="E184" s="64" t="str">
        <f t="array" ref="E184">IF(B184="","",INDEX(tMovimientos[Tipo],MATCH(B184,tMovimientos[ID],0)))</f>
        <v/>
      </c>
      <c r="F184" s="14" t="str">
        <f>IF(B184="","",SUMIFS(tMovimientos[Importe],tMovimientos[ID],B184))</f>
        <v/>
      </c>
      <c r="G184" s="1"/>
      <c r="H184" s="1"/>
      <c r="I184" s="1"/>
      <c r="J184" s="1"/>
      <c r="K184" s="1"/>
    </row>
    <row r="185" ht="27.75" customHeight="1">
      <c r="A185" s="1"/>
      <c r="B185" s="10"/>
      <c r="C185" s="10"/>
      <c r="D185" s="47" t="str">
        <f>IF(B185="","",SUMIFS(tMovimientos[Fecha],tMovimientos[ID],B185))</f>
        <v/>
      </c>
      <c r="E185" s="64" t="str">
        <f t="array" ref="E185">IF(B185="","",INDEX(tMovimientos[Tipo],MATCH(B185,tMovimientos[ID],0)))</f>
        <v/>
      </c>
      <c r="F185" s="14" t="str">
        <f>IF(B185="","",SUMIFS(tMovimientos[Importe],tMovimientos[ID],B185))</f>
        <v/>
      </c>
      <c r="G185" s="1"/>
      <c r="H185" s="1"/>
      <c r="I185" s="1"/>
      <c r="J185" s="1"/>
      <c r="K185" s="1"/>
    </row>
    <row r="186" ht="27.75" customHeight="1">
      <c r="A186" s="1"/>
      <c r="B186" s="10"/>
      <c r="C186" s="10"/>
      <c r="D186" s="47" t="str">
        <f>IF(B186="","",SUMIFS(tMovimientos[Fecha],tMovimientos[ID],B186))</f>
        <v/>
      </c>
      <c r="E186" s="64" t="str">
        <f t="array" ref="E186">IF(B186="","",INDEX(tMovimientos[Tipo],MATCH(B186,tMovimientos[ID],0)))</f>
        <v/>
      </c>
      <c r="F186" s="14" t="str">
        <f>IF(B186="","",SUMIFS(tMovimientos[Importe],tMovimientos[ID],B186))</f>
        <v/>
      </c>
      <c r="G186" s="1"/>
      <c r="H186" s="1"/>
      <c r="I186" s="1"/>
      <c r="J186" s="1"/>
      <c r="K186" s="1"/>
    </row>
    <row r="187" ht="27.75" customHeight="1">
      <c r="A187" s="1"/>
      <c r="B187" s="10"/>
      <c r="C187" s="10"/>
      <c r="D187" s="47" t="str">
        <f>IF(B187="","",SUMIFS(tMovimientos[Fecha],tMovimientos[ID],B187))</f>
        <v/>
      </c>
      <c r="E187" s="64" t="str">
        <f t="array" ref="E187">IF(B187="","",INDEX(tMovimientos[Tipo],MATCH(B187,tMovimientos[ID],0)))</f>
        <v/>
      </c>
      <c r="F187" s="14" t="str">
        <f>IF(B187="","",SUMIFS(tMovimientos[Importe],tMovimientos[ID],B187))</f>
        <v/>
      </c>
      <c r="G187" s="1"/>
      <c r="H187" s="1"/>
      <c r="I187" s="1"/>
      <c r="J187" s="1"/>
      <c r="K187" s="1"/>
    </row>
    <row r="188" ht="27.75" customHeight="1">
      <c r="A188" s="1"/>
      <c r="B188" s="10"/>
      <c r="C188" s="10"/>
      <c r="D188" s="47" t="str">
        <f>IF(B188="","",SUMIFS(tMovimientos[Fecha],tMovimientos[ID],B188))</f>
        <v/>
      </c>
      <c r="E188" s="64" t="str">
        <f t="array" ref="E188">IF(B188="","",INDEX(tMovimientos[Tipo],MATCH(B188,tMovimientos[ID],0)))</f>
        <v/>
      </c>
      <c r="F188" s="14" t="str">
        <f>IF(B188="","",SUMIFS(tMovimientos[Importe],tMovimientos[ID],B188))</f>
        <v/>
      </c>
      <c r="G188" s="1"/>
      <c r="H188" s="1"/>
      <c r="I188" s="1"/>
      <c r="J188" s="1"/>
      <c r="K188" s="1"/>
    </row>
    <row r="189" ht="27.75" customHeight="1">
      <c r="A189" s="1"/>
      <c r="B189" s="10"/>
      <c r="C189" s="10"/>
      <c r="D189" s="47" t="str">
        <f>IF(B189="","",SUMIFS(tMovimientos[Fecha],tMovimientos[ID],B189))</f>
        <v/>
      </c>
      <c r="E189" s="64" t="str">
        <f t="array" ref="E189">IF(B189="","",INDEX(tMovimientos[Tipo],MATCH(B189,tMovimientos[ID],0)))</f>
        <v/>
      </c>
      <c r="F189" s="14" t="str">
        <f>IF(B189="","",SUMIFS(tMovimientos[Importe],tMovimientos[ID],B189))</f>
        <v/>
      </c>
      <c r="G189" s="1"/>
      <c r="H189" s="1"/>
      <c r="I189" s="1"/>
      <c r="J189" s="1"/>
      <c r="K189" s="1"/>
    </row>
    <row r="190" ht="27.75" customHeight="1">
      <c r="A190" s="1"/>
      <c r="B190" s="10"/>
      <c r="C190" s="10"/>
      <c r="D190" s="47" t="str">
        <f>IF(B190="","",SUMIFS(tMovimientos[Fecha],tMovimientos[ID],B190))</f>
        <v/>
      </c>
      <c r="E190" s="64" t="str">
        <f t="array" ref="E190">IF(B190="","",INDEX(tMovimientos[Tipo],MATCH(B190,tMovimientos[ID],0)))</f>
        <v/>
      </c>
      <c r="F190" s="14" t="str">
        <f>IF(B190="","",SUMIFS(tMovimientos[Importe],tMovimientos[ID],B190))</f>
        <v/>
      </c>
      <c r="G190" s="1"/>
      <c r="H190" s="1"/>
      <c r="I190" s="1"/>
      <c r="J190" s="1"/>
      <c r="K190" s="1"/>
    </row>
    <row r="191" ht="27.75" customHeight="1">
      <c r="A191" s="1"/>
      <c r="B191" s="10"/>
      <c r="C191" s="10"/>
      <c r="D191" s="47" t="str">
        <f>IF(B191="","",SUMIFS(tMovimientos[Fecha],tMovimientos[ID],B191))</f>
        <v/>
      </c>
      <c r="E191" s="64" t="str">
        <f t="array" ref="E191">IF(B191="","",INDEX(tMovimientos[Tipo],MATCH(B191,tMovimientos[ID],0)))</f>
        <v/>
      </c>
      <c r="F191" s="14" t="str">
        <f>IF(B191="","",SUMIFS(tMovimientos[Importe],tMovimientos[ID],B191))</f>
        <v/>
      </c>
      <c r="G191" s="1"/>
      <c r="H191" s="1"/>
      <c r="I191" s="1"/>
      <c r="J191" s="1"/>
      <c r="K191" s="1"/>
    </row>
    <row r="192" ht="27.75" customHeight="1">
      <c r="A192" s="1"/>
      <c r="B192" s="10"/>
      <c r="C192" s="10"/>
      <c r="D192" s="47" t="str">
        <f>IF(B192="","",SUMIFS(tMovimientos[Fecha],tMovimientos[ID],B192))</f>
        <v/>
      </c>
      <c r="E192" s="64" t="str">
        <f t="array" ref="E192">IF(B192="","",INDEX(tMovimientos[Tipo],MATCH(B192,tMovimientos[ID],0)))</f>
        <v/>
      </c>
      <c r="F192" s="14" t="str">
        <f>IF(B192="","",SUMIFS(tMovimientos[Importe],tMovimientos[ID],B192))</f>
        <v/>
      </c>
      <c r="G192" s="1"/>
      <c r="H192" s="1"/>
      <c r="I192" s="1"/>
      <c r="J192" s="1"/>
      <c r="K192" s="1"/>
    </row>
    <row r="193" ht="27.75" customHeight="1">
      <c r="A193" s="1"/>
      <c r="B193" s="10"/>
      <c r="C193" s="10"/>
      <c r="D193" s="47" t="str">
        <f>IF(B193="","",SUMIFS(tMovimientos[Fecha],tMovimientos[ID],B193))</f>
        <v/>
      </c>
      <c r="E193" s="64" t="str">
        <f t="array" ref="E193">IF(B193="","",INDEX(tMovimientos[Tipo],MATCH(B193,tMovimientos[ID],0)))</f>
        <v/>
      </c>
      <c r="F193" s="14" t="str">
        <f>IF(B193="","",SUMIFS(tMovimientos[Importe],tMovimientos[ID],B193))</f>
        <v/>
      </c>
      <c r="G193" s="1"/>
      <c r="H193" s="1"/>
      <c r="I193" s="1"/>
      <c r="J193" s="1"/>
      <c r="K193" s="1"/>
    </row>
    <row r="194" ht="27.75" customHeight="1">
      <c r="A194" s="1"/>
      <c r="B194" s="10"/>
      <c r="C194" s="10"/>
      <c r="D194" s="47" t="str">
        <f>IF(B194="","",SUMIFS(tMovimientos[Fecha],tMovimientos[ID],B194))</f>
        <v/>
      </c>
      <c r="E194" s="64" t="str">
        <f t="array" ref="E194">IF(B194="","",INDEX(tMovimientos[Tipo],MATCH(B194,tMovimientos[ID],0)))</f>
        <v/>
      </c>
      <c r="F194" s="14" t="str">
        <f>IF(B194="","",SUMIFS(tMovimientos[Importe],tMovimientos[ID],B194))</f>
        <v/>
      </c>
      <c r="G194" s="1"/>
      <c r="H194" s="1"/>
      <c r="I194" s="1"/>
      <c r="J194" s="1"/>
      <c r="K194" s="1"/>
    </row>
    <row r="195" ht="27.75" customHeight="1">
      <c r="A195" s="1"/>
      <c r="B195" s="10"/>
      <c r="C195" s="10"/>
      <c r="D195" s="47" t="str">
        <f>IF(B195="","",SUMIFS(tMovimientos[Fecha],tMovimientos[ID],B195))</f>
        <v/>
      </c>
      <c r="E195" s="64" t="str">
        <f t="array" ref="E195">IF(B195="","",INDEX(tMovimientos[Tipo],MATCH(B195,tMovimientos[ID],0)))</f>
        <v/>
      </c>
      <c r="F195" s="14" t="str">
        <f>IF(B195="","",SUMIFS(tMovimientos[Importe],tMovimientos[ID],B195))</f>
        <v/>
      </c>
      <c r="G195" s="1"/>
      <c r="H195" s="1"/>
      <c r="I195" s="1"/>
      <c r="J195" s="1"/>
      <c r="K195" s="1"/>
    </row>
    <row r="196" ht="27.75" customHeight="1">
      <c r="A196" s="1"/>
      <c r="B196" s="10"/>
      <c r="C196" s="10"/>
      <c r="D196" s="47" t="str">
        <f>IF(B196="","",SUMIFS(tMovimientos[Fecha],tMovimientos[ID],B196))</f>
        <v/>
      </c>
      <c r="E196" s="64" t="str">
        <f t="array" ref="E196">IF(B196="","",INDEX(tMovimientos[Tipo],MATCH(B196,tMovimientos[ID],0)))</f>
        <v/>
      </c>
      <c r="F196" s="14" t="str">
        <f>IF(B196="","",SUMIFS(tMovimientos[Importe],tMovimientos[ID],B196))</f>
        <v/>
      </c>
      <c r="G196" s="1"/>
      <c r="H196" s="1"/>
      <c r="I196" s="1"/>
      <c r="J196" s="1"/>
      <c r="K196" s="1"/>
    </row>
    <row r="197" ht="27.75" customHeight="1">
      <c r="A197" s="1"/>
      <c r="B197" s="10"/>
      <c r="C197" s="10"/>
      <c r="D197" s="47" t="str">
        <f>IF(B197="","",SUMIFS(tMovimientos[Fecha],tMovimientos[ID],B197))</f>
        <v/>
      </c>
      <c r="E197" s="64" t="str">
        <f t="array" ref="E197">IF(B197="","",INDEX(tMovimientos[Tipo],MATCH(B197,tMovimientos[ID],0)))</f>
        <v/>
      </c>
      <c r="F197" s="14" t="str">
        <f>IF(B197="","",SUMIFS(tMovimientos[Importe],tMovimientos[ID],B197))</f>
        <v/>
      </c>
      <c r="G197" s="1"/>
      <c r="H197" s="1"/>
      <c r="I197" s="1"/>
      <c r="J197" s="1"/>
      <c r="K197" s="1"/>
    </row>
    <row r="198" ht="27.75" customHeight="1">
      <c r="A198" s="1"/>
      <c r="B198" s="10"/>
      <c r="C198" s="10"/>
      <c r="D198" s="47" t="str">
        <f>IF(B198="","",SUMIFS(tMovimientos[Fecha],tMovimientos[ID],B198))</f>
        <v/>
      </c>
      <c r="E198" s="64" t="str">
        <f t="array" ref="E198">IF(B198="","",INDEX(tMovimientos[Tipo],MATCH(B198,tMovimientos[ID],0)))</f>
        <v/>
      </c>
      <c r="F198" s="14" t="str">
        <f>IF(B198="","",SUMIFS(tMovimientos[Importe],tMovimientos[ID],B198))</f>
        <v/>
      </c>
      <c r="G198" s="1"/>
      <c r="H198" s="1"/>
      <c r="I198" s="1"/>
      <c r="J198" s="1"/>
      <c r="K198" s="1"/>
    </row>
    <row r="199" ht="27.75" customHeight="1">
      <c r="A199" s="1"/>
      <c r="B199" s="10"/>
      <c r="C199" s="10"/>
      <c r="D199" s="47" t="str">
        <f>IF(B199="","",SUMIFS(tMovimientos[Fecha],tMovimientos[ID],B199))</f>
        <v/>
      </c>
      <c r="E199" s="64" t="str">
        <f t="array" ref="E199">IF(B199="","",INDEX(tMovimientos[Tipo],MATCH(B199,tMovimientos[ID],0)))</f>
        <v/>
      </c>
      <c r="F199" s="14" t="str">
        <f>IF(B199="","",SUMIFS(tMovimientos[Importe],tMovimientos[ID],B199))</f>
        <v/>
      </c>
      <c r="G199" s="1"/>
      <c r="H199" s="1"/>
      <c r="I199" s="1"/>
      <c r="J199" s="1"/>
      <c r="K199" s="1"/>
    </row>
    <row r="200" ht="27.75" customHeight="1">
      <c r="A200" s="1"/>
      <c r="B200" s="10"/>
      <c r="C200" s="10"/>
      <c r="D200" s="47" t="str">
        <f>IF(B200="","",SUMIFS(tMovimientos[Fecha],tMovimientos[ID],B200))</f>
        <v/>
      </c>
      <c r="E200" s="64" t="str">
        <f t="array" ref="E200">IF(B200="","",INDEX(tMovimientos[Tipo],MATCH(B200,tMovimientos[ID],0)))</f>
        <v/>
      </c>
      <c r="F200" s="14" t="str">
        <f>IF(B200="","",SUMIFS(tMovimientos[Importe],tMovimientos[ID],B200))</f>
        <v/>
      </c>
      <c r="G200" s="1"/>
      <c r="H200" s="1"/>
      <c r="I200" s="1"/>
      <c r="J200" s="1"/>
      <c r="K200" s="1"/>
    </row>
    <row r="201" ht="27.75" customHeight="1">
      <c r="A201" s="1"/>
      <c r="B201" s="10"/>
      <c r="C201" s="10"/>
      <c r="D201" s="47" t="str">
        <f>IF(B201="","",SUMIFS(tMovimientos[Fecha],tMovimientos[ID],B201))</f>
        <v/>
      </c>
      <c r="E201" s="64" t="str">
        <f t="array" ref="E201">IF(B201="","",INDEX(tMovimientos[Tipo],MATCH(B201,tMovimientos[ID],0)))</f>
        <v/>
      </c>
      <c r="F201" s="14" t="str">
        <f>IF(B201="","",SUMIFS(tMovimientos[Importe],tMovimientos[ID],B201))</f>
        <v/>
      </c>
      <c r="G201" s="1"/>
      <c r="H201" s="1"/>
      <c r="I201" s="1"/>
      <c r="J201" s="1"/>
      <c r="K201" s="1"/>
    </row>
    <row r="202" ht="27.75" customHeight="1">
      <c r="A202" s="1"/>
      <c r="B202" s="10"/>
      <c r="C202" s="10"/>
      <c r="D202" s="47" t="str">
        <f>IF(B202="","",SUMIFS(tMovimientos[Fecha],tMovimientos[ID],B202))</f>
        <v/>
      </c>
      <c r="E202" s="64" t="str">
        <f t="array" ref="E202">IF(B202="","",INDEX(tMovimientos[Tipo],MATCH(B202,tMovimientos[ID],0)))</f>
        <v/>
      </c>
      <c r="F202" s="14" t="str">
        <f>IF(B202="","",SUMIFS(tMovimientos[Importe],tMovimientos[ID],B202))</f>
        <v/>
      </c>
      <c r="G202" s="1"/>
      <c r="H202" s="1"/>
      <c r="I202" s="1"/>
      <c r="J202" s="1"/>
      <c r="K202" s="1"/>
    </row>
    <row r="203" ht="27.75" customHeight="1">
      <c r="A203" s="1"/>
      <c r="B203" s="10"/>
      <c r="C203" s="10"/>
      <c r="D203" s="47" t="str">
        <f>IF(B203="","",SUMIFS(tMovimientos[Fecha],tMovimientos[ID],B203))</f>
        <v/>
      </c>
      <c r="E203" s="64" t="str">
        <f t="array" ref="E203">IF(B203="","",INDEX(tMovimientos[Tipo],MATCH(B203,tMovimientos[ID],0)))</f>
        <v/>
      </c>
      <c r="F203" s="14" t="str">
        <f>IF(B203="","",SUMIFS(tMovimientos[Importe],tMovimientos[ID],B203))</f>
        <v/>
      </c>
      <c r="G203" s="1"/>
      <c r="H203" s="1"/>
      <c r="I203" s="1"/>
      <c r="J203" s="1"/>
      <c r="K203" s="1"/>
    </row>
    <row r="204" ht="27.75" customHeight="1">
      <c r="A204" s="1"/>
      <c r="B204" s="10"/>
      <c r="C204" s="10"/>
      <c r="D204" s="47" t="str">
        <f>IF(B204="","",SUMIFS(tMovimientos[Fecha],tMovimientos[ID],B204))</f>
        <v/>
      </c>
      <c r="E204" s="64" t="str">
        <f t="array" ref="E204">IF(B204="","",INDEX(tMovimientos[Tipo],MATCH(B204,tMovimientos[ID],0)))</f>
        <v/>
      </c>
      <c r="F204" s="14" t="str">
        <f>IF(B204="","",SUMIFS(tMovimientos[Importe],tMovimientos[ID],B204))</f>
        <v/>
      </c>
      <c r="G204" s="1"/>
      <c r="H204" s="1"/>
      <c r="I204" s="1"/>
      <c r="J204" s="1"/>
      <c r="K204" s="1"/>
    </row>
    <row r="205" ht="27.75" customHeight="1">
      <c r="A205" s="1"/>
      <c r="B205" s="10"/>
      <c r="C205" s="10"/>
      <c r="D205" s="47" t="str">
        <f>IF(B205="","",SUMIFS(tMovimientos[Fecha],tMovimientos[ID],B205))</f>
        <v/>
      </c>
      <c r="E205" s="64" t="str">
        <f t="array" ref="E205">IF(B205="","",INDEX(tMovimientos[Tipo],MATCH(B205,tMovimientos[ID],0)))</f>
        <v/>
      </c>
      <c r="F205" s="14" t="str">
        <f>IF(B205="","",SUMIFS(tMovimientos[Importe],tMovimientos[ID],B205))</f>
        <v/>
      </c>
      <c r="G205" s="1"/>
      <c r="H205" s="1"/>
      <c r="I205" s="1"/>
      <c r="J205" s="1"/>
      <c r="K205" s="1"/>
    </row>
    <row r="206" ht="27.75" customHeight="1">
      <c r="A206" s="1"/>
      <c r="B206" s="10"/>
      <c r="C206" s="10"/>
      <c r="D206" s="47" t="str">
        <f>IF(B206="","",SUMIFS(tMovimientos[Fecha],tMovimientos[ID],B206))</f>
        <v/>
      </c>
      <c r="E206" s="64" t="str">
        <f t="array" ref="E206">IF(B206="","",INDEX(tMovimientos[Tipo],MATCH(B206,tMovimientos[ID],0)))</f>
        <v/>
      </c>
      <c r="F206" s="14" t="str">
        <f>IF(B206="","",SUMIFS(tMovimientos[Importe],tMovimientos[ID],B206))</f>
        <v/>
      </c>
      <c r="G206" s="1"/>
      <c r="H206" s="1"/>
      <c r="I206" s="1"/>
      <c r="J206" s="1"/>
      <c r="K206" s="1"/>
    </row>
    <row r="207" ht="27.75" customHeight="1">
      <c r="A207" s="1"/>
      <c r="B207" s="10"/>
      <c r="C207" s="10"/>
      <c r="D207" s="47" t="str">
        <f>IF(B207="","",SUMIFS(tMovimientos[Fecha],tMovimientos[ID],B207))</f>
        <v/>
      </c>
      <c r="E207" s="64" t="str">
        <f t="array" ref="E207">IF(B207="","",INDEX(tMovimientos[Tipo],MATCH(B207,tMovimientos[ID],0)))</f>
        <v/>
      </c>
      <c r="F207" s="14" t="str">
        <f>IF(B207="","",SUMIFS(tMovimientos[Importe],tMovimientos[ID],B207))</f>
        <v/>
      </c>
      <c r="G207" s="1"/>
      <c r="H207" s="1"/>
      <c r="I207" s="1"/>
      <c r="J207" s="1"/>
      <c r="K207" s="1"/>
    </row>
    <row r="208" ht="27.75" customHeight="1">
      <c r="A208" s="1"/>
      <c r="B208" s="10"/>
      <c r="C208" s="10"/>
      <c r="D208" s="47" t="str">
        <f>IF(B208="","",SUMIFS(tMovimientos[Fecha],tMovimientos[ID],B208))</f>
        <v/>
      </c>
      <c r="E208" s="64" t="str">
        <f t="array" ref="E208">IF(B208="","",INDEX(tMovimientos[Tipo],MATCH(B208,tMovimientos[ID],0)))</f>
        <v/>
      </c>
      <c r="F208" s="14" t="str">
        <f>IF(B208="","",SUMIFS(tMovimientos[Importe],tMovimientos[ID],B208))</f>
        <v/>
      </c>
      <c r="G208" s="1"/>
      <c r="H208" s="1"/>
      <c r="I208" s="1"/>
      <c r="J208" s="1"/>
      <c r="K208" s="1"/>
    </row>
    <row r="209" ht="27.75" customHeight="1">
      <c r="A209" s="1"/>
      <c r="B209" s="10"/>
      <c r="C209" s="10"/>
      <c r="D209" s="47" t="str">
        <f>IF(B209="","",SUMIFS(tMovimientos[Fecha],tMovimientos[ID],B209))</f>
        <v/>
      </c>
      <c r="E209" s="64" t="str">
        <f t="array" ref="E209">IF(B209="","",INDEX(tMovimientos[Tipo],MATCH(B209,tMovimientos[ID],0)))</f>
        <v/>
      </c>
      <c r="F209" s="14" t="str">
        <f>IF(B209="","",SUMIFS(tMovimientos[Importe],tMovimientos[ID],B209))</f>
        <v/>
      </c>
      <c r="G209" s="1"/>
      <c r="H209" s="1"/>
      <c r="I209" s="1"/>
      <c r="J209" s="1"/>
      <c r="K209" s="1"/>
    </row>
    <row r="210" ht="27.75" customHeight="1">
      <c r="A210" s="1"/>
      <c r="B210" s="10"/>
      <c r="C210" s="10"/>
      <c r="D210" s="47" t="str">
        <f>IF(B210="","",SUMIFS(tMovimientos[Fecha],tMovimientos[ID],B210))</f>
        <v/>
      </c>
      <c r="E210" s="64" t="str">
        <f t="array" ref="E210">IF(B210="","",INDEX(tMovimientos[Tipo],MATCH(B210,tMovimientos[ID],0)))</f>
        <v/>
      </c>
      <c r="F210" s="14" t="str">
        <f>IF(B210="","",SUMIFS(tMovimientos[Importe],tMovimientos[ID],B210))</f>
        <v/>
      </c>
      <c r="G210" s="1"/>
      <c r="H210" s="1"/>
      <c r="I210" s="1"/>
      <c r="J210" s="1"/>
      <c r="K210" s="1"/>
    </row>
    <row r="211" ht="27.75" customHeight="1">
      <c r="A211" s="1"/>
      <c r="B211" s="10"/>
      <c r="C211" s="10"/>
      <c r="D211" s="47" t="str">
        <f>IF(B211="","",SUMIFS(tMovimientos[Fecha],tMovimientos[ID],B211))</f>
        <v/>
      </c>
      <c r="E211" s="64" t="str">
        <f t="array" ref="E211">IF(B211="","",INDEX(tMovimientos[Tipo],MATCH(B211,tMovimientos[ID],0)))</f>
        <v/>
      </c>
      <c r="F211" s="14" t="str">
        <f>IF(B211="","",SUMIFS(tMovimientos[Importe],tMovimientos[ID],B211))</f>
        <v/>
      </c>
      <c r="G211" s="1"/>
      <c r="H211" s="1"/>
      <c r="I211" s="1"/>
      <c r="J211" s="1"/>
      <c r="K211" s="1"/>
    </row>
    <row r="212" ht="27.75" customHeight="1">
      <c r="A212" s="1"/>
      <c r="B212" s="10"/>
      <c r="C212" s="10"/>
      <c r="D212" s="47" t="str">
        <f>IF(B212="","",SUMIFS(tMovimientos[Fecha],tMovimientos[ID],B212))</f>
        <v/>
      </c>
      <c r="E212" s="64" t="str">
        <f t="array" ref="E212">IF(B212="","",INDEX(tMovimientos[Tipo],MATCH(B212,tMovimientos[ID],0)))</f>
        <v/>
      </c>
      <c r="F212" s="14" t="str">
        <f>IF(B212="","",SUMIFS(tMovimientos[Importe],tMovimientos[ID],B212))</f>
        <v/>
      </c>
      <c r="G212" s="1"/>
      <c r="H212" s="1"/>
      <c r="I212" s="1"/>
      <c r="J212" s="1"/>
      <c r="K212" s="1"/>
    </row>
    <row r="213" ht="27.75" customHeight="1">
      <c r="A213" s="1"/>
      <c r="B213" s="10"/>
      <c r="C213" s="10"/>
      <c r="D213" s="47" t="str">
        <f>IF(B213="","",SUMIFS(tMovimientos[Fecha],tMovimientos[ID],B213))</f>
        <v/>
      </c>
      <c r="E213" s="64" t="str">
        <f t="array" ref="E213">IF(B213="","",INDEX(tMovimientos[Tipo],MATCH(B213,tMovimientos[ID],0)))</f>
        <v/>
      </c>
      <c r="F213" s="14" t="str">
        <f>IF(B213="","",SUMIFS(tMovimientos[Importe],tMovimientos[ID],B213))</f>
        <v/>
      </c>
      <c r="G213" s="1"/>
      <c r="H213" s="1"/>
      <c r="I213" s="1"/>
      <c r="J213" s="1"/>
      <c r="K213" s="1"/>
    </row>
    <row r="214" ht="27.75" customHeight="1">
      <c r="A214" s="1"/>
      <c r="B214" s="10"/>
      <c r="C214" s="10"/>
      <c r="D214" s="47" t="str">
        <f>IF(B214="","",SUMIFS(tMovimientos[Fecha],tMovimientos[ID],B214))</f>
        <v/>
      </c>
      <c r="E214" s="64" t="str">
        <f t="array" ref="E214">IF(B214="","",INDEX(tMovimientos[Tipo],MATCH(B214,tMovimientos[ID],0)))</f>
        <v/>
      </c>
      <c r="F214" s="14" t="str">
        <f>IF(B214="","",SUMIFS(tMovimientos[Importe],tMovimientos[ID],B214))</f>
        <v/>
      </c>
      <c r="G214" s="1"/>
      <c r="H214" s="1"/>
      <c r="I214" s="1"/>
      <c r="J214" s="1"/>
      <c r="K214" s="1"/>
    </row>
    <row r="215" ht="27.75" customHeight="1">
      <c r="A215" s="1"/>
      <c r="B215" s="10"/>
      <c r="C215" s="10"/>
      <c r="D215" s="47" t="str">
        <f>IF(B215="","",SUMIFS(tMovimientos[Fecha],tMovimientos[ID],B215))</f>
        <v/>
      </c>
      <c r="E215" s="64" t="str">
        <f t="array" ref="E215">IF(B215="","",INDEX(tMovimientos[Tipo],MATCH(B215,tMovimientos[ID],0)))</f>
        <v/>
      </c>
      <c r="F215" s="14" t="str">
        <f>IF(B215="","",SUMIFS(tMovimientos[Importe],tMovimientos[ID],B215))</f>
        <v/>
      </c>
      <c r="G215" s="1"/>
      <c r="H215" s="1"/>
      <c r="I215" s="1"/>
      <c r="J215" s="1"/>
      <c r="K215" s="1"/>
    </row>
    <row r="216" ht="27.75" customHeight="1">
      <c r="A216" s="1"/>
      <c r="B216" s="10"/>
      <c r="C216" s="10"/>
      <c r="D216" s="47" t="str">
        <f>IF(B216="","",SUMIFS(tMovimientos[Fecha],tMovimientos[ID],B216))</f>
        <v/>
      </c>
      <c r="E216" s="64" t="str">
        <f t="array" ref="E216">IF(B216="","",INDEX(tMovimientos[Tipo],MATCH(B216,tMovimientos[ID],0)))</f>
        <v/>
      </c>
      <c r="F216" s="14" t="str">
        <f>IF(B216="","",SUMIFS(tMovimientos[Importe],tMovimientos[ID],B216))</f>
        <v/>
      </c>
      <c r="G216" s="1"/>
      <c r="H216" s="1"/>
      <c r="I216" s="1"/>
      <c r="J216" s="1"/>
      <c r="K216" s="1"/>
    </row>
    <row r="217" ht="27.75" customHeight="1">
      <c r="A217" s="1"/>
      <c r="B217" s="10"/>
      <c r="C217" s="10"/>
      <c r="D217" s="47" t="str">
        <f>IF(B217="","",SUMIFS(tMovimientos[Fecha],tMovimientos[ID],B217))</f>
        <v/>
      </c>
      <c r="E217" s="64" t="str">
        <f t="array" ref="E217">IF(B217="","",INDEX(tMovimientos[Tipo],MATCH(B217,tMovimientos[ID],0)))</f>
        <v/>
      </c>
      <c r="F217" s="14" t="str">
        <f>IF(B217="","",SUMIFS(tMovimientos[Importe],tMovimientos[ID],B217))</f>
        <v/>
      </c>
      <c r="G217" s="1"/>
      <c r="H217" s="1"/>
      <c r="I217" s="1"/>
      <c r="J217" s="1"/>
      <c r="K217" s="1"/>
    </row>
    <row r="218" ht="27.75" customHeight="1">
      <c r="A218" s="1"/>
      <c r="B218" s="10"/>
      <c r="C218" s="10"/>
      <c r="D218" s="47" t="str">
        <f>IF(B218="","",SUMIFS(tMovimientos[Fecha],tMovimientos[ID],B218))</f>
        <v/>
      </c>
      <c r="E218" s="64" t="str">
        <f t="array" ref="E218">IF(B218="","",INDEX(tMovimientos[Tipo],MATCH(B218,tMovimientos[ID],0)))</f>
        <v/>
      </c>
      <c r="F218" s="14" t="str">
        <f>IF(B218="","",SUMIFS(tMovimientos[Importe],tMovimientos[ID],B218))</f>
        <v/>
      </c>
      <c r="G218" s="1"/>
      <c r="H218" s="1"/>
      <c r="I218" s="1"/>
      <c r="J218" s="1"/>
      <c r="K218" s="1"/>
    </row>
    <row r="219" ht="27.75" customHeight="1">
      <c r="A219" s="1"/>
      <c r="B219" s="10"/>
      <c r="C219" s="10"/>
      <c r="D219" s="47" t="str">
        <f>IF(B219="","",SUMIFS(tMovimientos[Fecha],tMovimientos[ID],B219))</f>
        <v/>
      </c>
      <c r="E219" s="64" t="str">
        <f t="array" ref="E219">IF(B219="","",INDEX(tMovimientos[Tipo],MATCH(B219,tMovimientos[ID],0)))</f>
        <v/>
      </c>
      <c r="F219" s="14" t="str">
        <f>IF(B219="","",SUMIFS(tMovimientos[Importe],tMovimientos[ID],B219))</f>
        <v/>
      </c>
      <c r="G219" s="1"/>
      <c r="H219" s="1"/>
      <c r="I219" s="1"/>
      <c r="J219" s="1"/>
      <c r="K219" s="1"/>
    </row>
    <row r="220" ht="27.75" customHeight="1">
      <c r="A220" s="1"/>
      <c r="B220" s="10"/>
      <c r="C220" s="10"/>
      <c r="D220" s="47" t="str">
        <f>IF(B220="","",SUMIFS(tMovimientos[Fecha],tMovimientos[ID],B220))</f>
        <v/>
      </c>
      <c r="E220" s="64" t="str">
        <f t="array" ref="E220">IF(B220="","",INDEX(tMovimientos[Tipo],MATCH(B220,tMovimientos[ID],0)))</f>
        <v/>
      </c>
      <c r="F220" s="14" t="str">
        <f>IF(B220="","",SUMIFS(tMovimientos[Importe],tMovimientos[ID],B220))</f>
        <v/>
      </c>
      <c r="G220" s="1"/>
      <c r="H220" s="1"/>
      <c r="I220" s="1"/>
      <c r="J220" s="1"/>
      <c r="K220" s="1"/>
    </row>
    <row r="221" ht="27.75" customHeight="1">
      <c r="A221" s="1"/>
      <c r="B221" s="10"/>
      <c r="C221" s="10"/>
      <c r="D221" s="47" t="str">
        <f>IF(B221="","",SUMIFS(tMovimientos[Fecha],tMovimientos[ID],B221))</f>
        <v/>
      </c>
      <c r="E221" s="64" t="str">
        <f t="array" ref="E221">IF(B221="","",INDEX(tMovimientos[Tipo],MATCH(B221,tMovimientos[ID],0)))</f>
        <v/>
      </c>
      <c r="F221" s="14" t="str">
        <f>IF(B221="","",SUMIFS(tMovimientos[Importe],tMovimientos[ID],B221))</f>
        <v/>
      </c>
      <c r="G221" s="1"/>
      <c r="H221" s="1"/>
      <c r="I221" s="1"/>
      <c r="J221" s="1"/>
      <c r="K221" s="1"/>
    </row>
    <row r="222" ht="27.75" customHeight="1">
      <c r="A222" s="1"/>
      <c r="B222" s="10"/>
      <c r="C222" s="10"/>
      <c r="D222" s="47" t="str">
        <f>IF(B222="","",SUMIFS(tMovimientos[Fecha],tMovimientos[ID],B222))</f>
        <v/>
      </c>
      <c r="E222" s="64" t="str">
        <f t="array" ref="E222">IF(B222="","",INDEX(tMovimientos[Tipo],MATCH(B222,tMovimientos[ID],0)))</f>
        <v/>
      </c>
      <c r="F222" s="14" t="str">
        <f>IF(B222="","",SUMIFS(tMovimientos[Importe],tMovimientos[ID],B222))</f>
        <v/>
      </c>
      <c r="G222" s="1"/>
      <c r="H222" s="1"/>
      <c r="I222" s="1"/>
      <c r="J222" s="1"/>
      <c r="K222" s="1"/>
    </row>
    <row r="223" ht="27.75" customHeight="1">
      <c r="A223" s="1"/>
      <c r="B223" s="10"/>
      <c r="C223" s="10"/>
      <c r="D223" s="47" t="str">
        <f>IF(B223="","",SUMIFS(tMovimientos[Fecha],tMovimientos[ID],B223))</f>
        <v/>
      </c>
      <c r="E223" s="64" t="str">
        <f t="array" ref="E223">IF(B223="","",INDEX(tMovimientos[Tipo],MATCH(B223,tMovimientos[ID],0)))</f>
        <v/>
      </c>
      <c r="F223" s="14" t="str">
        <f>IF(B223="","",SUMIFS(tMovimientos[Importe],tMovimientos[ID],B223))</f>
        <v/>
      </c>
      <c r="G223" s="1"/>
      <c r="H223" s="1"/>
      <c r="I223" s="1"/>
      <c r="J223" s="1"/>
      <c r="K223" s="1"/>
    </row>
    <row r="224" ht="27.75" customHeight="1">
      <c r="A224" s="1"/>
      <c r="B224" s="10"/>
      <c r="C224" s="10"/>
      <c r="D224" s="47" t="str">
        <f>IF(B224="","",SUMIFS(tMovimientos[Fecha],tMovimientos[ID],B224))</f>
        <v/>
      </c>
      <c r="E224" s="64" t="str">
        <f t="array" ref="E224">IF(B224="","",INDEX(tMovimientos[Tipo],MATCH(B224,tMovimientos[ID],0)))</f>
        <v/>
      </c>
      <c r="F224" s="14" t="str">
        <f>IF(B224="","",SUMIFS(tMovimientos[Importe],tMovimientos[ID],B224))</f>
        <v/>
      </c>
      <c r="G224" s="1"/>
      <c r="H224" s="1"/>
      <c r="I224" s="1"/>
      <c r="J224" s="1"/>
      <c r="K224" s="1"/>
    </row>
    <row r="225" ht="27.75" customHeight="1">
      <c r="A225" s="1"/>
      <c r="B225" s="10"/>
      <c r="C225" s="10"/>
      <c r="D225" s="47" t="str">
        <f>IF(B225="","",SUMIFS(tMovimientos[Fecha],tMovimientos[ID],B225))</f>
        <v/>
      </c>
      <c r="E225" s="64" t="str">
        <f t="array" ref="E225">IF(B225="","",INDEX(tMovimientos[Tipo],MATCH(B225,tMovimientos[ID],0)))</f>
        <v/>
      </c>
      <c r="F225" s="14" t="str">
        <f>IF(B225="","",SUMIFS(tMovimientos[Importe],tMovimientos[ID],B225))</f>
        <v/>
      </c>
      <c r="G225" s="1"/>
      <c r="H225" s="1"/>
      <c r="I225" s="1"/>
      <c r="J225" s="1"/>
      <c r="K225" s="1"/>
    </row>
    <row r="226" ht="27.75" customHeight="1">
      <c r="A226" s="1"/>
      <c r="B226" s="10"/>
      <c r="C226" s="10"/>
      <c r="D226" s="47" t="str">
        <f>IF(B226="","",SUMIFS(tMovimientos[Fecha],tMovimientos[ID],B226))</f>
        <v/>
      </c>
      <c r="E226" s="64" t="str">
        <f t="array" ref="E226">IF(B226="","",INDEX(tMovimientos[Tipo],MATCH(B226,tMovimientos[ID],0)))</f>
        <v/>
      </c>
      <c r="F226" s="14" t="str">
        <f>IF(B226="","",SUMIFS(tMovimientos[Importe],tMovimientos[ID],B226))</f>
        <v/>
      </c>
      <c r="G226" s="1"/>
      <c r="H226" s="1"/>
      <c r="I226" s="1"/>
      <c r="J226" s="1"/>
      <c r="K226" s="1"/>
    </row>
    <row r="227" ht="27.75" customHeight="1">
      <c r="A227" s="1"/>
      <c r="B227" s="10"/>
      <c r="C227" s="10"/>
      <c r="D227" s="47" t="str">
        <f>IF(B227="","",SUMIFS(tMovimientos[Fecha],tMovimientos[ID],B227))</f>
        <v/>
      </c>
      <c r="E227" s="64" t="str">
        <f t="array" ref="E227">IF(B227="","",INDEX(tMovimientos[Tipo],MATCH(B227,tMovimientos[ID],0)))</f>
        <v/>
      </c>
      <c r="F227" s="14" t="str">
        <f>IF(B227="","",SUMIFS(tMovimientos[Importe],tMovimientos[ID],B227))</f>
        <v/>
      </c>
      <c r="G227" s="1"/>
      <c r="H227" s="1"/>
      <c r="I227" s="1"/>
      <c r="J227" s="1"/>
      <c r="K227" s="1"/>
    </row>
    <row r="228" ht="27.75" customHeight="1">
      <c r="A228" s="1"/>
      <c r="B228" s="10"/>
      <c r="C228" s="10"/>
      <c r="D228" s="47" t="str">
        <f>IF(B228="","",SUMIFS(tMovimientos[Fecha],tMovimientos[ID],B228))</f>
        <v/>
      </c>
      <c r="E228" s="64" t="str">
        <f t="array" ref="E228">IF(B228="","",INDEX(tMovimientos[Tipo],MATCH(B228,tMovimientos[ID],0)))</f>
        <v/>
      </c>
      <c r="F228" s="14" t="str">
        <f>IF(B228="","",SUMIFS(tMovimientos[Importe],tMovimientos[ID],B228))</f>
        <v/>
      </c>
      <c r="G228" s="1"/>
      <c r="H228" s="1"/>
      <c r="I228" s="1"/>
      <c r="J228" s="1"/>
      <c r="K228" s="1"/>
    </row>
    <row r="229" ht="27.75" customHeight="1">
      <c r="A229" s="1"/>
      <c r="B229" s="10"/>
      <c r="C229" s="10"/>
      <c r="D229" s="47" t="str">
        <f>IF(B229="","",SUMIFS(tMovimientos[Fecha],tMovimientos[ID],B229))</f>
        <v/>
      </c>
      <c r="E229" s="64" t="str">
        <f t="array" ref="E229">IF(B229="","",INDEX(tMovimientos[Tipo],MATCH(B229,tMovimientos[ID],0)))</f>
        <v/>
      </c>
      <c r="F229" s="14" t="str">
        <f>IF(B229="","",SUMIFS(tMovimientos[Importe],tMovimientos[ID],B229))</f>
        <v/>
      </c>
      <c r="G229" s="1"/>
      <c r="H229" s="1"/>
      <c r="I229" s="1"/>
      <c r="J229" s="1"/>
      <c r="K229" s="1"/>
    </row>
    <row r="230" ht="27.75" customHeight="1">
      <c r="A230" s="1"/>
      <c r="B230" s="10"/>
      <c r="C230" s="10"/>
      <c r="D230" s="47" t="str">
        <f>IF(B230="","",SUMIFS(tMovimientos[Fecha],tMovimientos[ID],B230))</f>
        <v/>
      </c>
      <c r="E230" s="64" t="str">
        <f t="array" ref="E230">IF(B230="","",INDEX(tMovimientos[Tipo],MATCH(B230,tMovimientos[ID],0)))</f>
        <v/>
      </c>
      <c r="F230" s="14" t="str">
        <f>IF(B230="","",SUMIFS(tMovimientos[Importe],tMovimientos[ID],B230))</f>
        <v/>
      </c>
      <c r="G230" s="1"/>
      <c r="H230" s="1"/>
      <c r="I230" s="1"/>
      <c r="J230" s="1"/>
      <c r="K230" s="1"/>
    </row>
    <row r="231" ht="27.75" customHeight="1">
      <c r="A231" s="1"/>
      <c r="B231" s="10"/>
      <c r="C231" s="10"/>
      <c r="D231" s="47" t="str">
        <f>IF(B231="","",SUMIFS(tMovimientos[Fecha],tMovimientos[ID],B231))</f>
        <v/>
      </c>
      <c r="E231" s="64" t="str">
        <f t="array" ref="E231">IF(B231="","",INDEX(tMovimientos[Tipo],MATCH(B231,tMovimientos[ID],0)))</f>
        <v/>
      </c>
      <c r="F231" s="14" t="str">
        <f>IF(B231="","",SUMIFS(tMovimientos[Importe],tMovimientos[ID],B231))</f>
        <v/>
      </c>
      <c r="G231" s="1"/>
      <c r="H231" s="1"/>
      <c r="I231" s="1"/>
      <c r="J231" s="1"/>
      <c r="K231" s="1"/>
    </row>
    <row r="232" ht="27.75" customHeight="1">
      <c r="A232" s="1"/>
      <c r="B232" s="10"/>
      <c r="C232" s="10"/>
      <c r="D232" s="47" t="str">
        <f>IF(B232="","",SUMIFS(tMovimientos[Fecha],tMovimientos[ID],B232))</f>
        <v/>
      </c>
      <c r="E232" s="64" t="str">
        <f t="array" ref="E232">IF(B232="","",INDEX(tMovimientos[Tipo],MATCH(B232,tMovimientos[ID],0)))</f>
        <v/>
      </c>
      <c r="F232" s="14" t="str">
        <f>IF(B232="","",SUMIFS(tMovimientos[Importe],tMovimientos[ID],B232))</f>
        <v/>
      </c>
      <c r="G232" s="1"/>
      <c r="H232" s="1"/>
      <c r="I232" s="1"/>
      <c r="J232" s="1"/>
      <c r="K232" s="1"/>
    </row>
    <row r="233" ht="27.75" customHeight="1">
      <c r="A233" s="1"/>
      <c r="B233" s="10"/>
      <c r="C233" s="10"/>
      <c r="D233" s="47" t="str">
        <f>IF(B233="","",SUMIFS(tMovimientos[Fecha],tMovimientos[ID],B233))</f>
        <v/>
      </c>
      <c r="E233" s="64" t="str">
        <f t="array" ref="E233">IF(B233="","",INDEX(tMovimientos[Tipo],MATCH(B233,tMovimientos[ID],0)))</f>
        <v/>
      </c>
      <c r="F233" s="14" t="str">
        <f>IF(B233="","",SUMIFS(tMovimientos[Importe],tMovimientos[ID],B233))</f>
        <v/>
      </c>
      <c r="G233" s="1"/>
      <c r="H233" s="1"/>
      <c r="I233" s="1"/>
      <c r="J233" s="1"/>
      <c r="K233" s="1"/>
    </row>
    <row r="234" ht="27.75" customHeight="1">
      <c r="A234" s="1"/>
      <c r="B234" s="10"/>
      <c r="C234" s="10"/>
      <c r="D234" s="47" t="str">
        <f>IF(B234="","",SUMIFS(tMovimientos[Fecha],tMovimientos[ID],B234))</f>
        <v/>
      </c>
      <c r="E234" s="64" t="str">
        <f t="array" ref="E234">IF(B234="","",INDEX(tMovimientos[Tipo],MATCH(B234,tMovimientos[ID],0)))</f>
        <v/>
      </c>
      <c r="F234" s="14" t="str">
        <f>IF(B234="","",SUMIFS(tMovimientos[Importe],tMovimientos[ID],B234))</f>
        <v/>
      </c>
      <c r="G234" s="1"/>
      <c r="H234" s="1"/>
      <c r="I234" s="1"/>
      <c r="J234" s="1"/>
      <c r="K234" s="1"/>
    </row>
    <row r="235" ht="27.75" customHeight="1">
      <c r="A235" s="1"/>
      <c r="B235" s="10"/>
      <c r="C235" s="10"/>
      <c r="D235" s="47" t="str">
        <f>IF(B235="","",SUMIFS(tMovimientos[Fecha],tMovimientos[ID],B235))</f>
        <v/>
      </c>
      <c r="E235" s="64" t="str">
        <f t="array" ref="E235">IF(B235="","",INDEX(tMovimientos[Tipo],MATCH(B235,tMovimientos[ID],0)))</f>
        <v/>
      </c>
      <c r="F235" s="14" t="str">
        <f>IF(B235="","",SUMIFS(tMovimientos[Importe],tMovimientos[ID],B235))</f>
        <v/>
      </c>
      <c r="G235" s="1"/>
      <c r="H235" s="1"/>
      <c r="I235" s="1"/>
      <c r="J235" s="1"/>
      <c r="K235" s="1"/>
    </row>
    <row r="236" ht="27.75" customHeight="1">
      <c r="A236" s="1"/>
      <c r="B236" s="10"/>
      <c r="C236" s="10"/>
      <c r="D236" s="47" t="str">
        <f>IF(B236="","",SUMIFS(tMovimientos[Fecha],tMovimientos[ID],B236))</f>
        <v/>
      </c>
      <c r="E236" s="64" t="str">
        <f t="array" ref="E236">IF(B236="","",INDEX(tMovimientos[Tipo],MATCH(B236,tMovimientos[ID],0)))</f>
        <v/>
      </c>
      <c r="F236" s="14" t="str">
        <f>IF(B236="","",SUMIFS(tMovimientos[Importe],tMovimientos[ID],B236))</f>
        <v/>
      </c>
      <c r="G236" s="1"/>
      <c r="H236" s="1"/>
      <c r="I236" s="1"/>
      <c r="J236" s="1"/>
      <c r="K236" s="1"/>
    </row>
    <row r="237" ht="27.75" customHeight="1">
      <c r="A237" s="1"/>
      <c r="B237" s="10"/>
      <c r="C237" s="10"/>
      <c r="D237" s="47" t="str">
        <f>IF(B237="","",SUMIFS(tMovimientos[Fecha],tMovimientos[ID],B237))</f>
        <v/>
      </c>
      <c r="E237" s="64" t="str">
        <f t="array" ref="E237">IF(B237="","",INDEX(tMovimientos[Tipo],MATCH(B237,tMovimientos[ID],0)))</f>
        <v/>
      </c>
      <c r="F237" s="14" t="str">
        <f>IF(B237="","",SUMIFS(tMovimientos[Importe],tMovimientos[ID],B237))</f>
        <v/>
      </c>
      <c r="G237" s="1"/>
      <c r="H237" s="1"/>
      <c r="I237" s="1"/>
      <c r="J237" s="1"/>
      <c r="K237" s="1"/>
    </row>
    <row r="238" ht="27.75" customHeight="1">
      <c r="A238" s="1"/>
      <c r="B238" s="10"/>
      <c r="C238" s="10"/>
      <c r="D238" s="47" t="str">
        <f>IF(B238="","",SUMIFS(tMovimientos[Fecha],tMovimientos[ID],B238))</f>
        <v/>
      </c>
      <c r="E238" s="64" t="str">
        <f t="array" ref="E238">IF(B238="","",INDEX(tMovimientos[Tipo],MATCH(B238,tMovimientos[ID],0)))</f>
        <v/>
      </c>
      <c r="F238" s="14" t="str">
        <f>IF(B238="","",SUMIFS(tMovimientos[Importe],tMovimientos[ID],B238))</f>
        <v/>
      </c>
      <c r="G238" s="1"/>
      <c r="H238" s="1"/>
      <c r="I238" s="1"/>
      <c r="J238" s="1"/>
      <c r="K238" s="1"/>
    </row>
    <row r="239" ht="27.75" customHeight="1">
      <c r="A239" s="1"/>
      <c r="B239" s="10"/>
      <c r="C239" s="10"/>
      <c r="D239" s="47" t="str">
        <f>IF(B239="","",SUMIFS(tMovimientos[Fecha],tMovimientos[ID],B239))</f>
        <v/>
      </c>
      <c r="E239" s="64" t="str">
        <f t="array" ref="E239">IF(B239="","",INDEX(tMovimientos[Tipo],MATCH(B239,tMovimientos[ID],0)))</f>
        <v/>
      </c>
      <c r="F239" s="14" t="str">
        <f>IF(B239="","",SUMIFS(tMovimientos[Importe],tMovimientos[ID],B239))</f>
        <v/>
      </c>
      <c r="G239" s="1"/>
      <c r="H239" s="1"/>
      <c r="I239" s="1"/>
      <c r="J239" s="1"/>
      <c r="K239" s="1"/>
    </row>
    <row r="240" ht="27.75" customHeight="1">
      <c r="A240" s="1"/>
      <c r="B240" s="10"/>
      <c r="C240" s="10"/>
      <c r="D240" s="47" t="str">
        <f>IF(B240="","",SUMIFS(tMovimientos[Fecha],tMovimientos[ID],B240))</f>
        <v/>
      </c>
      <c r="E240" s="64" t="str">
        <f t="array" ref="E240">IF(B240="","",INDEX(tMovimientos[Tipo],MATCH(B240,tMovimientos[ID],0)))</f>
        <v/>
      </c>
      <c r="F240" s="14" t="str">
        <f>IF(B240="","",SUMIFS(tMovimientos[Importe],tMovimientos[ID],B240))</f>
        <v/>
      </c>
      <c r="G240" s="1"/>
      <c r="H240" s="1"/>
      <c r="I240" s="1"/>
      <c r="J240" s="1"/>
      <c r="K240" s="1"/>
    </row>
    <row r="241" ht="27.75" customHeight="1">
      <c r="A241" s="1"/>
      <c r="B241" s="10"/>
      <c r="C241" s="10"/>
      <c r="D241" s="47" t="str">
        <f>IF(B241="","",SUMIFS(tMovimientos[Fecha],tMovimientos[ID],B241))</f>
        <v/>
      </c>
      <c r="E241" s="64" t="str">
        <f t="array" ref="E241">IF(B241="","",INDEX(tMovimientos[Tipo],MATCH(B241,tMovimientos[ID],0)))</f>
        <v/>
      </c>
      <c r="F241" s="14" t="str">
        <f>IF(B241="","",SUMIFS(tMovimientos[Importe],tMovimientos[ID],B241))</f>
        <v/>
      </c>
      <c r="G241" s="1"/>
      <c r="H241" s="1"/>
      <c r="I241" s="1"/>
      <c r="J241" s="1"/>
      <c r="K241" s="1"/>
    </row>
    <row r="242" ht="27.75" customHeight="1">
      <c r="A242" s="1"/>
      <c r="B242" s="10"/>
      <c r="C242" s="10"/>
      <c r="D242" s="47" t="str">
        <f>IF(B242="","",SUMIFS(tMovimientos[Fecha],tMovimientos[ID],B242))</f>
        <v/>
      </c>
      <c r="E242" s="64" t="str">
        <f t="array" ref="E242">IF(B242="","",INDEX(tMovimientos[Tipo],MATCH(B242,tMovimientos[ID],0)))</f>
        <v/>
      </c>
      <c r="F242" s="14" t="str">
        <f>IF(B242="","",SUMIFS(tMovimientos[Importe],tMovimientos[ID],B242))</f>
        <v/>
      </c>
      <c r="G242" s="1"/>
      <c r="H242" s="1"/>
      <c r="I242" s="1"/>
      <c r="J242" s="1"/>
      <c r="K242" s="1"/>
    </row>
    <row r="243" ht="27.75" customHeight="1">
      <c r="A243" s="1"/>
      <c r="B243" s="10"/>
      <c r="C243" s="10"/>
      <c r="D243" s="47" t="str">
        <f>IF(B243="","",SUMIFS(tMovimientos[Fecha],tMovimientos[ID],B243))</f>
        <v/>
      </c>
      <c r="E243" s="64" t="str">
        <f t="array" ref="E243">IF(B243="","",INDEX(tMovimientos[Tipo],MATCH(B243,tMovimientos[ID],0)))</f>
        <v/>
      </c>
      <c r="F243" s="14" t="str">
        <f>IF(B243="","",SUMIFS(tMovimientos[Importe],tMovimientos[ID],B243))</f>
        <v/>
      </c>
      <c r="G243" s="1"/>
      <c r="H243" s="1"/>
      <c r="I243" s="1"/>
      <c r="J243" s="1"/>
      <c r="K243" s="1"/>
    </row>
    <row r="244" ht="27.75" customHeight="1">
      <c r="A244" s="1"/>
      <c r="B244" s="10"/>
      <c r="C244" s="10"/>
      <c r="D244" s="47" t="str">
        <f>IF(B244="","",SUMIFS(tMovimientos[Fecha],tMovimientos[ID],B244))</f>
        <v/>
      </c>
      <c r="E244" s="64" t="str">
        <f t="array" ref="E244">IF(B244="","",INDEX(tMovimientos[Tipo],MATCH(B244,tMovimientos[ID],0)))</f>
        <v/>
      </c>
      <c r="F244" s="14" t="str">
        <f>IF(B244="","",SUMIFS(tMovimientos[Importe],tMovimientos[ID],B244))</f>
        <v/>
      </c>
      <c r="G244" s="1"/>
      <c r="H244" s="1"/>
      <c r="I244" s="1"/>
      <c r="J244" s="1"/>
      <c r="K244" s="1"/>
    </row>
    <row r="245" ht="27.75" customHeight="1">
      <c r="A245" s="1"/>
      <c r="B245" s="10"/>
      <c r="C245" s="10"/>
      <c r="D245" s="47" t="str">
        <f>IF(B245="","",SUMIFS(tMovimientos[Fecha],tMovimientos[ID],B245))</f>
        <v/>
      </c>
      <c r="E245" s="64" t="str">
        <f t="array" ref="E245">IF(B245="","",INDEX(tMovimientos[Tipo],MATCH(B245,tMovimientos[ID],0)))</f>
        <v/>
      </c>
      <c r="F245" s="14" t="str">
        <f>IF(B245="","",SUMIFS(tMovimientos[Importe],tMovimientos[ID],B245))</f>
        <v/>
      </c>
      <c r="G245" s="1"/>
      <c r="H245" s="1"/>
      <c r="I245" s="1"/>
      <c r="J245" s="1"/>
      <c r="K245" s="1"/>
    </row>
    <row r="246" ht="27.75" customHeight="1">
      <c r="A246" s="1"/>
      <c r="B246" s="10"/>
      <c r="C246" s="10"/>
      <c r="D246" s="47" t="str">
        <f>IF(B246="","",SUMIFS(tMovimientos[Fecha],tMovimientos[ID],B246))</f>
        <v/>
      </c>
      <c r="E246" s="64" t="str">
        <f t="array" ref="E246">IF(B246="","",INDEX(tMovimientos[Tipo],MATCH(B246,tMovimientos[ID],0)))</f>
        <v/>
      </c>
      <c r="F246" s="14" t="str">
        <f>IF(B246="","",SUMIFS(tMovimientos[Importe],tMovimientos[ID],B246))</f>
        <v/>
      </c>
      <c r="G246" s="1"/>
      <c r="H246" s="1"/>
      <c r="I246" s="1"/>
      <c r="J246" s="1"/>
      <c r="K246" s="1"/>
    </row>
    <row r="247" ht="27.75" customHeight="1">
      <c r="A247" s="1"/>
      <c r="B247" s="10"/>
      <c r="C247" s="10"/>
      <c r="D247" s="47" t="str">
        <f>IF(B247="","",SUMIFS(tMovimientos[Fecha],tMovimientos[ID],B247))</f>
        <v/>
      </c>
      <c r="E247" s="64" t="str">
        <f t="array" ref="E247">IF(B247="","",INDEX(tMovimientos[Tipo],MATCH(B247,tMovimientos[ID],0)))</f>
        <v/>
      </c>
      <c r="F247" s="14" t="str">
        <f>IF(B247="","",SUMIFS(tMovimientos[Importe],tMovimientos[ID],B247))</f>
        <v/>
      </c>
      <c r="G247" s="1"/>
      <c r="H247" s="1"/>
      <c r="I247" s="1"/>
      <c r="J247" s="1"/>
      <c r="K247" s="1"/>
    </row>
    <row r="248" ht="27.75" customHeight="1">
      <c r="A248" s="1"/>
      <c r="B248" s="10"/>
      <c r="C248" s="10"/>
      <c r="D248" s="47" t="str">
        <f>IF(B248="","",SUMIFS(tMovimientos[Fecha],tMovimientos[ID],B248))</f>
        <v/>
      </c>
      <c r="E248" s="64" t="str">
        <f t="array" ref="E248">IF(B248="","",INDEX(tMovimientos[Tipo],MATCH(B248,tMovimientos[ID],0)))</f>
        <v/>
      </c>
      <c r="F248" s="14" t="str">
        <f>IF(B248="","",SUMIFS(tMovimientos[Importe],tMovimientos[ID],B248))</f>
        <v/>
      </c>
      <c r="G248" s="1"/>
      <c r="H248" s="1"/>
      <c r="I248" s="1"/>
      <c r="J248" s="1"/>
      <c r="K248" s="1"/>
    </row>
    <row r="249" ht="27.75" customHeight="1">
      <c r="A249" s="1"/>
      <c r="B249" s="10"/>
      <c r="C249" s="10"/>
      <c r="D249" s="47" t="str">
        <f>IF(B249="","",SUMIFS(tMovimientos[Fecha],tMovimientos[ID],B249))</f>
        <v/>
      </c>
      <c r="E249" s="64" t="str">
        <f t="array" ref="E249">IF(B249="","",INDEX(tMovimientos[Tipo],MATCH(B249,tMovimientos[ID],0)))</f>
        <v/>
      </c>
      <c r="F249" s="14" t="str">
        <f>IF(B249="","",SUMIFS(tMovimientos[Importe],tMovimientos[ID],B249))</f>
        <v/>
      </c>
      <c r="G249" s="1"/>
      <c r="H249" s="1"/>
      <c r="I249" s="1"/>
      <c r="J249" s="1"/>
      <c r="K249" s="1"/>
    </row>
    <row r="250" ht="27.75" customHeight="1">
      <c r="A250" s="1"/>
      <c r="B250" s="10"/>
      <c r="C250" s="10"/>
      <c r="D250" s="47" t="str">
        <f>IF(B250="","",SUMIFS(tMovimientos[Fecha],tMovimientos[ID],B250))</f>
        <v/>
      </c>
      <c r="E250" s="64" t="str">
        <f t="array" ref="E250">IF(B250="","",INDEX(tMovimientos[Tipo],MATCH(B250,tMovimientos[ID],0)))</f>
        <v/>
      </c>
      <c r="F250" s="14" t="str">
        <f>IF(B250="","",SUMIFS(tMovimientos[Importe],tMovimientos[ID],B250))</f>
        <v/>
      </c>
      <c r="G250" s="1"/>
      <c r="H250" s="1"/>
      <c r="I250" s="1"/>
      <c r="J250" s="1"/>
      <c r="K250" s="1"/>
    </row>
    <row r="251" ht="27.75" customHeight="1">
      <c r="A251" s="1"/>
      <c r="B251" s="10"/>
      <c r="C251" s="10"/>
      <c r="D251" s="47" t="str">
        <f>IF(B251="","",SUMIFS(tMovimientos[Fecha],tMovimientos[ID],B251))</f>
        <v/>
      </c>
      <c r="E251" s="64" t="str">
        <f t="array" ref="E251">IF(B251="","",INDEX(tMovimientos[Tipo],MATCH(B251,tMovimientos[ID],0)))</f>
        <v/>
      </c>
      <c r="F251" s="14" t="str">
        <f>IF(B251="","",SUMIFS(tMovimientos[Importe],tMovimientos[ID],B251))</f>
        <v/>
      </c>
      <c r="G251" s="1"/>
      <c r="H251" s="1"/>
      <c r="I251" s="1"/>
      <c r="J251" s="1"/>
      <c r="K251" s="1"/>
    </row>
    <row r="252" ht="27.75" customHeight="1">
      <c r="A252" s="1"/>
      <c r="B252" s="10"/>
      <c r="C252" s="10"/>
      <c r="D252" s="47" t="str">
        <f>IF(B252="","",SUMIFS(tMovimientos[Fecha],tMovimientos[ID],B252))</f>
        <v/>
      </c>
      <c r="E252" s="64" t="str">
        <f t="array" ref="E252">IF(B252="","",INDEX(tMovimientos[Tipo],MATCH(B252,tMovimientos[ID],0)))</f>
        <v/>
      </c>
      <c r="F252" s="14" t="str">
        <f>IF(B252="","",SUMIFS(tMovimientos[Importe],tMovimientos[ID],B252))</f>
        <v/>
      </c>
      <c r="G252" s="1"/>
      <c r="H252" s="1"/>
      <c r="I252" s="1"/>
      <c r="J252" s="1"/>
      <c r="K252" s="1"/>
    </row>
    <row r="253" ht="27.75" customHeight="1">
      <c r="A253" s="1"/>
      <c r="B253" s="10"/>
      <c r="C253" s="10"/>
      <c r="D253" s="47" t="str">
        <f>IF(B253="","",SUMIFS(tMovimientos[Fecha],tMovimientos[ID],B253))</f>
        <v/>
      </c>
      <c r="E253" s="64" t="str">
        <f t="array" ref="E253">IF(B253="","",INDEX(tMovimientos[Tipo],MATCH(B253,tMovimientos[ID],0)))</f>
        <v/>
      </c>
      <c r="F253" s="14" t="str">
        <f>IF(B253="","",SUMIFS(tMovimientos[Importe],tMovimientos[ID],B253))</f>
        <v/>
      </c>
      <c r="G253" s="1"/>
      <c r="H253" s="1"/>
      <c r="I253" s="1"/>
      <c r="J253" s="1"/>
      <c r="K253" s="1"/>
    </row>
    <row r="254" ht="27.75" customHeight="1">
      <c r="A254" s="1"/>
      <c r="B254" s="10"/>
      <c r="C254" s="10"/>
      <c r="D254" s="47" t="str">
        <f>IF(B254="","",SUMIFS(tMovimientos[Fecha],tMovimientos[ID],B254))</f>
        <v/>
      </c>
      <c r="E254" s="64" t="str">
        <f t="array" ref="E254">IF(B254="","",INDEX(tMovimientos[Tipo],MATCH(B254,tMovimientos[ID],0)))</f>
        <v/>
      </c>
      <c r="F254" s="14" t="str">
        <f>IF(B254="","",SUMIFS(tMovimientos[Importe],tMovimientos[ID],B254))</f>
        <v/>
      </c>
      <c r="G254" s="1"/>
      <c r="H254" s="1"/>
      <c r="I254" s="1"/>
      <c r="J254" s="1"/>
      <c r="K254" s="1"/>
    </row>
    <row r="255" ht="24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24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24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24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24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24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</sheetData>
  <mergeCells count="2">
    <mergeCell ref="B2:K2"/>
    <mergeCell ref="B132:F132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4252"/>
    <pageSetUpPr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25.0"/>
    <col customWidth="1" min="3" max="8" width="18.0"/>
    <col customWidth="1" min="9" max="14" width="13.0"/>
  </cols>
  <sheetData>
    <row r="1" ht="24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75" customHeight="1">
      <c r="A2" s="1"/>
      <c r="B2" s="2" t="s">
        <v>51</v>
      </c>
    </row>
    <row r="3" ht="24.75" customHeight="1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24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24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ht="24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ht="24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ht="37.5" customHeight="1">
      <c r="A8" s="1"/>
      <c r="B8" s="4" t="s">
        <v>52</v>
      </c>
      <c r="C8" s="4" t="s">
        <v>53</v>
      </c>
      <c r="D8" s="4" t="s">
        <v>54</v>
      </c>
      <c r="E8" s="4" t="s">
        <v>55</v>
      </c>
      <c r="F8" s="4" t="s">
        <v>56</v>
      </c>
      <c r="G8" s="4" t="s">
        <v>57</v>
      </c>
      <c r="H8" s="4" t="s">
        <v>58</v>
      </c>
      <c r="I8" s="1"/>
      <c r="J8" s="1"/>
      <c r="K8" s="1"/>
      <c r="L8" s="1"/>
      <c r="M8" s="1"/>
      <c r="N8" s="1"/>
    </row>
    <row r="9" ht="27.75" customHeight="1">
      <c r="A9" s="1"/>
      <c r="B9" s="5"/>
      <c r="C9" s="46" t="str">
        <f>IF(B9="","",SUMIFS(tMovimientos[Fecha],tMovimientos[ID],B9))</f>
        <v/>
      </c>
      <c r="D9" s="9" t="str">
        <f>IF(B9="","",SUMIFS(tMovimientos[Importe],tMovimientos[ID],B9))</f>
        <v/>
      </c>
      <c r="E9" s="6"/>
      <c r="F9" s="6"/>
      <c r="G9" s="6"/>
      <c r="H9" s="6"/>
      <c r="I9" s="1"/>
      <c r="J9" s="1"/>
      <c r="K9" s="1"/>
      <c r="L9" s="1"/>
      <c r="M9" s="1"/>
      <c r="N9" s="1"/>
    </row>
    <row r="10" ht="27.75" customHeight="1">
      <c r="A10" s="1"/>
      <c r="B10" s="10"/>
      <c r="C10" s="47" t="str">
        <f>IF(B10="","",SUMIFS(tMovimientos[Fecha],tMovimientos[ID],B10))</f>
        <v/>
      </c>
      <c r="D10" s="14" t="str">
        <f>IF(B10="","",SUMIFS(tMovimientos[Importe],tMovimientos[ID],B10))</f>
        <v/>
      </c>
      <c r="E10" s="13"/>
      <c r="F10" s="13"/>
      <c r="G10" s="13"/>
      <c r="H10" s="13"/>
      <c r="I10" s="1"/>
      <c r="J10" s="1"/>
      <c r="K10" s="1"/>
      <c r="L10" s="1"/>
      <c r="M10" s="1"/>
      <c r="N10" s="1"/>
    </row>
    <row r="11" ht="27.75" customHeight="1">
      <c r="A11" s="1"/>
      <c r="B11" s="5"/>
      <c r="C11" s="46" t="str">
        <f>IF(B11="","",SUMIFS(tMovimientos[Fecha],tMovimientos[ID],B11))</f>
        <v/>
      </c>
      <c r="D11" s="9" t="str">
        <f>IF(B11="","",SUMIFS(tMovimientos[Importe],tMovimientos[ID],B11))</f>
        <v/>
      </c>
      <c r="E11" s="6"/>
      <c r="F11" s="6"/>
      <c r="G11" s="6"/>
      <c r="H11" s="6"/>
      <c r="I11" s="1"/>
      <c r="J11" s="1"/>
      <c r="K11" s="1"/>
      <c r="L11" s="1"/>
      <c r="M11" s="1"/>
      <c r="N11" s="1"/>
    </row>
    <row r="12" ht="27.75" customHeight="1">
      <c r="A12" s="1"/>
      <c r="B12" s="10"/>
      <c r="C12" s="47" t="str">
        <f>IF(B12="","",SUMIFS(tMovimientos[Fecha],tMovimientos[ID],B12))</f>
        <v/>
      </c>
      <c r="D12" s="14" t="str">
        <f>IF(B12="","",SUMIFS(tMovimientos[Importe],tMovimientos[ID],B12))</f>
        <v/>
      </c>
      <c r="E12" s="13"/>
      <c r="F12" s="13"/>
      <c r="G12" s="13"/>
      <c r="H12" s="13"/>
      <c r="I12" s="1"/>
      <c r="J12" s="1"/>
      <c r="K12" s="1"/>
      <c r="L12" s="1"/>
      <c r="M12" s="1"/>
      <c r="N12" s="1"/>
    </row>
    <row r="13" ht="27.75" customHeight="1">
      <c r="A13" s="1"/>
      <c r="B13" s="5"/>
      <c r="C13" s="46" t="str">
        <f>IF(B13="","",SUMIFS(tMovimientos[Fecha],tMovimientos[ID],B13))</f>
        <v/>
      </c>
      <c r="D13" s="9" t="str">
        <f>IF(B13="","",SUMIFS(tMovimientos[Importe],tMovimientos[ID],B13))</f>
        <v/>
      </c>
      <c r="E13" s="6"/>
      <c r="F13" s="6"/>
      <c r="G13" s="6"/>
      <c r="H13" s="6"/>
      <c r="I13" s="1"/>
      <c r="J13" s="1"/>
      <c r="K13" s="1"/>
      <c r="L13" s="1"/>
      <c r="M13" s="1"/>
      <c r="N13" s="1"/>
    </row>
    <row r="14" ht="27.75" customHeight="1">
      <c r="A14" s="1"/>
      <c r="B14" s="10"/>
      <c r="C14" s="47" t="str">
        <f>IF(B14="","",SUMIFS(tMovimientos[Fecha],tMovimientos[ID],B14))</f>
        <v/>
      </c>
      <c r="D14" s="14" t="str">
        <f>IF(B14="","",SUMIFS(tMovimientos[Importe],tMovimientos[ID],B14))</f>
        <v/>
      </c>
      <c r="E14" s="13"/>
      <c r="F14" s="13"/>
      <c r="G14" s="13"/>
      <c r="H14" s="13"/>
      <c r="I14" s="1"/>
      <c r="J14" s="1"/>
      <c r="K14" s="1"/>
      <c r="L14" s="1"/>
      <c r="M14" s="1"/>
      <c r="N14" s="1"/>
    </row>
    <row r="15" ht="27.75" customHeight="1">
      <c r="A15" s="1"/>
      <c r="B15" s="5"/>
      <c r="C15" s="46" t="str">
        <f>IF(B15="","",SUMIFS(tMovimientos[Fecha],tMovimientos[ID],B15))</f>
        <v/>
      </c>
      <c r="D15" s="9" t="str">
        <f>IF(B15="","",SUMIFS(tMovimientos[Importe],tMovimientos[ID],B15))</f>
        <v/>
      </c>
      <c r="E15" s="6"/>
      <c r="F15" s="6"/>
      <c r="G15" s="6"/>
      <c r="H15" s="6"/>
      <c r="I15" s="1"/>
      <c r="J15" s="1"/>
      <c r="K15" s="1"/>
      <c r="L15" s="1"/>
      <c r="M15" s="1"/>
      <c r="N15" s="1"/>
    </row>
    <row r="16" ht="27.75" customHeight="1">
      <c r="A16" s="1"/>
      <c r="B16" s="10"/>
      <c r="C16" s="47" t="str">
        <f>IF(B16="","",SUMIFS(tMovimientos[Fecha],tMovimientos[ID],B16))</f>
        <v/>
      </c>
      <c r="D16" s="14" t="str">
        <f>IF(B16="","",SUMIFS(tMovimientos[Importe],tMovimientos[ID],B16))</f>
        <v/>
      </c>
      <c r="E16" s="13"/>
      <c r="F16" s="13"/>
      <c r="G16" s="13"/>
      <c r="H16" s="13"/>
      <c r="I16" s="1"/>
      <c r="J16" s="1"/>
      <c r="K16" s="1"/>
      <c r="L16" s="1"/>
      <c r="M16" s="1"/>
      <c r="N16" s="1"/>
    </row>
    <row r="17" ht="27.75" customHeight="1">
      <c r="A17" s="1"/>
      <c r="B17" s="5"/>
      <c r="C17" s="46" t="str">
        <f>IF(B17="","",SUMIFS(tMovimientos[Fecha],tMovimientos[ID],B17))</f>
        <v/>
      </c>
      <c r="D17" s="9" t="str">
        <f>IF(B17="","",SUMIFS(tMovimientos[Importe],tMovimientos[ID],B17))</f>
        <v/>
      </c>
      <c r="E17" s="6"/>
      <c r="F17" s="6"/>
      <c r="G17" s="6"/>
      <c r="H17" s="6"/>
      <c r="I17" s="1"/>
      <c r="J17" s="1"/>
      <c r="K17" s="1"/>
      <c r="L17" s="1"/>
      <c r="M17" s="1"/>
      <c r="N17" s="1"/>
    </row>
    <row r="18" ht="27.75" customHeight="1">
      <c r="A18" s="1"/>
      <c r="B18" s="10"/>
      <c r="C18" s="47" t="str">
        <f>IF(B18="","",SUMIFS(tMovimientos[Fecha],tMovimientos[ID],B18))</f>
        <v/>
      </c>
      <c r="D18" s="14" t="str">
        <f>IF(B18="","",SUMIFS(tMovimientos[Importe],tMovimientos[ID],B18))</f>
        <v/>
      </c>
      <c r="E18" s="13"/>
      <c r="F18" s="13"/>
      <c r="G18" s="13"/>
      <c r="H18" s="13"/>
      <c r="I18" s="1"/>
      <c r="J18" s="1"/>
      <c r="K18" s="1"/>
      <c r="L18" s="1"/>
      <c r="M18" s="1"/>
      <c r="N18" s="1"/>
    </row>
    <row r="19" ht="27.75" customHeight="1">
      <c r="A19" s="1"/>
      <c r="B19" s="5"/>
      <c r="C19" s="46" t="str">
        <f>IF(B19="","",SUMIFS(tMovimientos[Fecha],tMovimientos[ID],B19))</f>
        <v/>
      </c>
      <c r="D19" s="9" t="str">
        <f>IF(B19="","",SUMIFS(tMovimientos[Importe],tMovimientos[ID],B19))</f>
        <v/>
      </c>
      <c r="E19" s="6"/>
      <c r="F19" s="6"/>
      <c r="G19" s="6"/>
      <c r="H19" s="6"/>
      <c r="I19" s="1"/>
      <c r="J19" s="1"/>
      <c r="K19" s="1"/>
      <c r="L19" s="1"/>
      <c r="M19" s="1"/>
      <c r="N19" s="1"/>
    </row>
    <row r="20" ht="27.75" customHeight="1">
      <c r="A20" s="1"/>
      <c r="B20" s="10"/>
      <c r="C20" s="47" t="str">
        <f>IF(B20="","",SUMIFS(tMovimientos[Fecha],tMovimientos[ID],B20))</f>
        <v/>
      </c>
      <c r="D20" s="14" t="str">
        <f>IF(B20="","",SUMIFS(tMovimientos[Importe],tMovimientos[ID],B20))</f>
        <v/>
      </c>
      <c r="E20" s="13"/>
      <c r="F20" s="13"/>
      <c r="G20" s="13"/>
      <c r="H20" s="13"/>
      <c r="I20" s="1"/>
      <c r="J20" s="1"/>
      <c r="K20" s="1"/>
      <c r="L20" s="1"/>
      <c r="M20" s="1"/>
      <c r="N20" s="1"/>
    </row>
    <row r="21" ht="27.75" customHeight="1">
      <c r="A21" s="1"/>
      <c r="B21" s="5"/>
      <c r="C21" s="46" t="str">
        <f>IF(B21="","",SUMIFS(tMovimientos[Fecha],tMovimientos[ID],B21))</f>
        <v/>
      </c>
      <c r="D21" s="9" t="str">
        <f>IF(B21="","",SUMIFS(tMovimientos[Importe],tMovimientos[ID],B21))</f>
        <v/>
      </c>
      <c r="E21" s="6"/>
      <c r="F21" s="6"/>
      <c r="G21" s="6"/>
      <c r="H21" s="6"/>
      <c r="I21" s="1"/>
      <c r="J21" s="1"/>
      <c r="K21" s="1"/>
      <c r="L21" s="1"/>
      <c r="M21" s="1"/>
      <c r="N21" s="1"/>
    </row>
    <row r="22" ht="27.75" customHeight="1">
      <c r="A22" s="1"/>
      <c r="B22" s="10"/>
      <c r="C22" s="47" t="str">
        <f>IF(B22="","",SUMIFS(tMovimientos[Fecha],tMovimientos[ID],B22))</f>
        <v/>
      </c>
      <c r="D22" s="14" t="str">
        <f>IF(B22="","",SUMIFS(tMovimientos[Importe],tMovimientos[ID],B22))</f>
        <v/>
      </c>
      <c r="E22" s="13"/>
      <c r="F22" s="13"/>
      <c r="G22" s="13"/>
      <c r="H22" s="13"/>
      <c r="I22" s="1"/>
      <c r="J22" s="1"/>
      <c r="K22" s="1"/>
      <c r="L22" s="1"/>
      <c r="M22" s="1"/>
      <c r="N22" s="1"/>
    </row>
    <row r="23" ht="27.75" customHeight="1">
      <c r="A23" s="1"/>
      <c r="B23" s="5"/>
      <c r="C23" s="46" t="str">
        <f>IF(B23="","",SUMIFS(tMovimientos[Fecha],tMovimientos[ID],B23))</f>
        <v/>
      </c>
      <c r="D23" s="9" t="str">
        <f>IF(B23="","",SUMIFS(tMovimientos[Importe],tMovimientos[ID],B23))</f>
        <v/>
      </c>
      <c r="E23" s="6"/>
      <c r="F23" s="6"/>
      <c r="G23" s="6"/>
      <c r="H23" s="6"/>
      <c r="I23" s="1"/>
      <c r="J23" s="1"/>
      <c r="K23" s="1"/>
      <c r="L23" s="1"/>
      <c r="M23" s="1"/>
      <c r="N23" s="1"/>
    </row>
    <row r="24" ht="27.75" customHeight="1">
      <c r="A24" s="1"/>
      <c r="B24" s="10"/>
      <c r="C24" s="47" t="str">
        <f>IF(B24="","",SUMIFS(tMovimientos[Fecha],tMovimientos[ID],B24))</f>
        <v/>
      </c>
      <c r="D24" s="14" t="str">
        <f>IF(B24="","",SUMIFS(tMovimientos[Importe],tMovimientos[ID],B24))</f>
        <v/>
      </c>
      <c r="E24" s="13"/>
      <c r="F24" s="13"/>
      <c r="G24" s="13"/>
      <c r="H24" s="13"/>
      <c r="I24" s="1"/>
      <c r="J24" s="1"/>
      <c r="K24" s="1"/>
      <c r="L24" s="1"/>
      <c r="M24" s="1"/>
      <c r="N24" s="1"/>
    </row>
    <row r="25" ht="27.75" customHeight="1">
      <c r="A25" s="1"/>
      <c r="B25" s="5"/>
      <c r="C25" s="46" t="str">
        <f>IF(B25="","",SUMIFS(tMovimientos[Fecha],tMovimientos[ID],B25))</f>
        <v/>
      </c>
      <c r="D25" s="9" t="str">
        <f>IF(B25="","",SUMIFS(tMovimientos[Importe],tMovimientos[ID],B25))</f>
        <v/>
      </c>
      <c r="E25" s="6"/>
      <c r="F25" s="6"/>
      <c r="G25" s="6"/>
      <c r="H25" s="6"/>
      <c r="I25" s="1"/>
      <c r="J25" s="1"/>
      <c r="K25" s="1"/>
      <c r="L25" s="1"/>
      <c r="M25" s="1"/>
      <c r="N25" s="1"/>
    </row>
    <row r="26" ht="27.75" customHeight="1">
      <c r="A26" s="1"/>
      <c r="B26" s="10"/>
      <c r="C26" s="47" t="str">
        <f>IF(B26="","",SUMIFS(tMovimientos[Fecha],tMovimientos[ID],B26))</f>
        <v/>
      </c>
      <c r="D26" s="14" t="str">
        <f>IF(B26="","",SUMIFS(tMovimientos[Importe],tMovimientos[ID],B26))</f>
        <v/>
      </c>
      <c r="E26" s="13"/>
      <c r="F26" s="13"/>
      <c r="G26" s="13"/>
      <c r="H26" s="13"/>
      <c r="I26" s="1"/>
      <c r="J26" s="1"/>
      <c r="K26" s="1"/>
      <c r="L26" s="1"/>
      <c r="M26" s="1"/>
      <c r="N26" s="1"/>
    </row>
    <row r="27" ht="27.75" customHeight="1">
      <c r="A27" s="1"/>
      <c r="B27" s="5"/>
      <c r="C27" s="46" t="str">
        <f>IF(B27="","",SUMIFS(tMovimientos[Fecha],tMovimientos[ID],B27))</f>
        <v/>
      </c>
      <c r="D27" s="9" t="str">
        <f>IF(B27="","",SUMIFS(tMovimientos[Importe],tMovimientos[ID],B27))</f>
        <v/>
      </c>
      <c r="E27" s="6"/>
      <c r="F27" s="6"/>
      <c r="G27" s="6"/>
      <c r="H27" s="6"/>
      <c r="I27" s="1"/>
      <c r="J27" s="1"/>
      <c r="K27" s="1"/>
      <c r="L27" s="1"/>
      <c r="M27" s="1"/>
      <c r="N27" s="1"/>
    </row>
    <row r="28" ht="27.75" customHeight="1">
      <c r="A28" s="1"/>
      <c r="B28" s="10"/>
      <c r="C28" s="47" t="str">
        <f>IF(B28="","",SUMIFS(tMovimientos[Fecha],tMovimientos[ID],B28))</f>
        <v/>
      </c>
      <c r="D28" s="14" t="str">
        <f>IF(B28="","",SUMIFS(tMovimientos[Importe],tMovimientos[ID],B28))</f>
        <v/>
      </c>
      <c r="E28" s="13"/>
      <c r="F28" s="13"/>
      <c r="G28" s="13"/>
      <c r="H28" s="13"/>
      <c r="I28" s="1"/>
      <c r="J28" s="1"/>
      <c r="K28" s="1"/>
      <c r="L28" s="1"/>
      <c r="M28" s="1"/>
      <c r="N28" s="1"/>
    </row>
    <row r="29" ht="27.75" customHeight="1">
      <c r="A29" s="1"/>
      <c r="B29" s="10"/>
      <c r="C29" s="47" t="str">
        <f>IF(B29="","",SUMIFS(tMovimientos[Fecha],tMovimientos[ID],B29))</f>
        <v/>
      </c>
      <c r="D29" s="14" t="str">
        <f>IF(B29="","",SUMIFS(tMovimientos[Importe],tMovimientos[ID],B29))</f>
        <v/>
      </c>
      <c r="E29" s="13"/>
      <c r="F29" s="13"/>
      <c r="G29" s="13"/>
      <c r="H29" s="13"/>
      <c r="I29" s="1"/>
      <c r="J29" s="1"/>
      <c r="K29" s="1"/>
      <c r="L29" s="1"/>
      <c r="M29" s="1"/>
      <c r="N29" s="1"/>
    </row>
    <row r="30" ht="27.75" customHeight="1">
      <c r="A30" s="1"/>
      <c r="B30" s="10"/>
      <c r="C30" s="47" t="str">
        <f>IF(B30="","",SUMIFS(tMovimientos[Fecha],tMovimientos[ID],B30))</f>
        <v/>
      </c>
      <c r="D30" s="14" t="str">
        <f>IF(B30="","",SUMIFS(tMovimientos[Importe],tMovimientos[ID],B30))</f>
        <v/>
      </c>
      <c r="E30" s="13"/>
      <c r="F30" s="13"/>
      <c r="G30" s="13"/>
      <c r="H30" s="13"/>
      <c r="I30" s="1"/>
      <c r="J30" s="1"/>
      <c r="K30" s="1"/>
      <c r="L30" s="1"/>
      <c r="M30" s="1"/>
      <c r="N30" s="1"/>
    </row>
    <row r="31" ht="27.75" customHeight="1">
      <c r="A31" s="1"/>
      <c r="B31" s="10"/>
      <c r="C31" s="47" t="str">
        <f>IF(B31="","",SUMIFS(tMovimientos[Fecha],tMovimientos[ID],B31))</f>
        <v/>
      </c>
      <c r="D31" s="14" t="str">
        <f>IF(B31="","",SUMIFS(tMovimientos[Importe],tMovimientos[ID],B31))</f>
        <v/>
      </c>
      <c r="E31" s="13"/>
      <c r="F31" s="13"/>
      <c r="G31" s="13"/>
      <c r="H31" s="13"/>
      <c r="I31" s="1"/>
      <c r="J31" s="1"/>
      <c r="K31" s="1"/>
      <c r="L31" s="1"/>
      <c r="M31" s="1"/>
      <c r="N31" s="1"/>
    </row>
    <row r="32" ht="27.75" customHeight="1">
      <c r="A32" s="1"/>
      <c r="B32" s="10"/>
      <c r="C32" s="47" t="str">
        <f>IF(B32="","",SUMIFS(tMovimientos[Fecha],tMovimientos[ID],B32))</f>
        <v/>
      </c>
      <c r="D32" s="14" t="str">
        <f>IF(B32="","",SUMIFS(tMovimientos[Importe],tMovimientos[ID],B32))</f>
        <v/>
      </c>
      <c r="E32" s="13"/>
      <c r="F32" s="13"/>
      <c r="G32" s="13"/>
      <c r="H32" s="13"/>
      <c r="I32" s="1"/>
      <c r="J32" s="1"/>
      <c r="K32" s="1"/>
      <c r="L32" s="1"/>
      <c r="M32" s="1"/>
      <c r="N32" s="1"/>
    </row>
    <row r="33" ht="27.75" customHeight="1">
      <c r="A33" s="1"/>
      <c r="B33" s="10"/>
      <c r="C33" s="47" t="str">
        <f>IF(B33="","",SUMIFS(tMovimientos[Fecha],tMovimientos[ID],B33))</f>
        <v/>
      </c>
      <c r="D33" s="14" t="str">
        <f>IF(B33="","",SUMIFS(tMovimientos[Importe],tMovimientos[ID],B33))</f>
        <v/>
      </c>
      <c r="E33" s="13"/>
      <c r="F33" s="13"/>
      <c r="G33" s="13"/>
      <c r="H33" s="13"/>
      <c r="I33" s="1"/>
      <c r="J33" s="1"/>
      <c r="K33" s="1"/>
      <c r="L33" s="1"/>
      <c r="M33" s="1"/>
      <c r="N33" s="1"/>
    </row>
    <row r="34" ht="27.75" customHeight="1">
      <c r="A34" s="1"/>
      <c r="B34" s="10"/>
      <c r="C34" s="47" t="str">
        <f>IF(B34="","",SUMIFS(tMovimientos[Fecha],tMovimientos[ID],B34))</f>
        <v/>
      </c>
      <c r="D34" s="14" t="str">
        <f>IF(B34="","",SUMIFS(tMovimientos[Importe],tMovimientos[ID],B34))</f>
        <v/>
      </c>
      <c r="E34" s="13"/>
      <c r="F34" s="13"/>
      <c r="G34" s="13"/>
      <c r="H34" s="13"/>
      <c r="I34" s="1"/>
      <c r="J34" s="1"/>
      <c r="K34" s="1"/>
      <c r="L34" s="1"/>
      <c r="M34" s="1"/>
      <c r="N34" s="1"/>
    </row>
    <row r="35" ht="27.75" customHeight="1">
      <c r="A35" s="1"/>
      <c r="B35" s="10"/>
      <c r="C35" s="47" t="str">
        <f>IF(B35="","",SUMIFS(tMovimientos[Fecha],tMovimientos[ID],B35))</f>
        <v/>
      </c>
      <c r="D35" s="14" t="str">
        <f>IF(B35="","",SUMIFS(tMovimientos[Importe],tMovimientos[ID],B35))</f>
        <v/>
      </c>
      <c r="E35" s="13"/>
      <c r="F35" s="13"/>
      <c r="G35" s="13"/>
      <c r="H35" s="13"/>
      <c r="I35" s="1"/>
      <c r="J35" s="1"/>
      <c r="K35" s="1"/>
      <c r="L35" s="1"/>
      <c r="M35" s="1"/>
      <c r="N35" s="1"/>
    </row>
    <row r="36" ht="27.75" customHeight="1">
      <c r="A36" s="1"/>
      <c r="B36" s="10"/>
      <c r="C36" s="47" t="str">
        <f>IF(B36="","",SUMIFS(tMovimientos[Fecha],tMovimientos[ID],B36))</f>
        <v/>
      </c>
      <c r="D36" s="14" t="str">
        <f>IF(B36="","",SUMIFS(tMovimientos[Importe],tMovimientos[ID],B36))</f>
        <v/>
      </c>
      <c r="E36" s="13"/>
      <c r="F36" s="13"/>
      <c r="G36" s="13"/>
      <c r="H36" s="13"/>
      <c r="I36" s="1"/>
      <c r="J36" s="1"/>
      <c r="K36" s="1"/>
      <c r="L36" s="1"/>
      <c r="M36" s="1"/>
      <c r="N36" s="1"/>
    </row>
    <row r="37" ht="27.75" customHeight="1">
      <c r="A37" s="1"/>
      <c r="B37" s="10"/>
      <c r="C37" s="47" t="str">
        <f>IF(B37="","",SUMIFS(tMovimientos[Fecha],tMovimientos[ID],B37))</f>
        <v/>
      </c>
      <c r="D37" s="14" t="str">
        <f>IF(B37="","",SUMIFS(tMovimientos[Importe],tMovimientos[ID],B37))</f>
        <v/>
      </c>
      <c r="E37" s="13"/>
      <c r="F37" s="13"/>
      <c r="G37" s="13"/>
      <c r="H37" s="13"/>
      <c r="I37" s="1"/>
      <c r="J37" s="1"/>
      <c r="K37" s="1"/>
      <c r="L37" s="1"/>
      <c r="M37" s="1"/>
      <c r="N37" s="1"/>
    </row>
    <row r="38" ht="27.75" customHeight="1">
      <c r="A38" s="1"/>
      <c r="B38" s="10"/>
      <c r="C38" s="47" t="str">
        <f>IF(B38="","",SUMIFS(tMovimientos[Fecha],tMovimientos[ID],B38))</f>
        <v/>
      </c>
      <c r="D38" s="14" t="str">
        <f>IF(B38="","",SUMIFS(tMovimientos[Importe],tMovimientos[ID],B38))</f>
        <v/>
      </c>
      <c r="E38" s="13"/>
      <c r="F38" s="13"/>
      <c r="G38" s="13"/>
      <c r="H38" s="13"/>
      <c r="I38" s="1"/>
      <c r="J38" s="1"/>
      <c r="K38" s="1"/>
      <c r="L38" s="1"/>
      <c r="M38" s="1"/>
      <c r="N38" s="1"/>
    </row>
    <row r="39" ht="27.75" customHeight="1">
      <c r="A39" s="1"/>
      <c r="B39" s="10"/>
      <c r="C39" s="47" t="str">
        <f>IF(B39="","",SUMIFS(tMovimientos[Fecha],tMovimientos[ID],B39))</f>
        <v/>
      </c>
      <c r="D39" s="14" t="str">
        <f>IF(B39="","",SUMIFS(tMovimientos[Importe],tMovimientos[ID],B39))</f>
        <v/>
      </c>
      <c r="E39" s="13"/>
      <c r="F39" s="13"/>
      <c r="G39" s="13"/>
      <c r="H39" s="13"/>
      <c r="I39" s="1"/>
      <c r="J39" s="1"/>
      <c r="K39" s="1"/>
      <c r="L39" s="1"/>
      <c r="M39" s="1"/>
      <c r="N39" s="1"/>
    </row>
    <row r="40" ht="27.75" customHeight="1">
      <c r="A40" s="1"/>
      <c r="B40" s="10"/>
      <c r="C40" s="47" t="str">
        <f>IF(B40="","",SUMIFS(tMovimientos[Fecha],tMovimientos[ID],B40))</f>
        <v/>
      </c>
      <c r="D40" s="14" t="str">
        <f>IF(B40="","",SUMIFS(tMovimientos[Importe],tMovimientos[ID],B40))</f>
        <v/>
      </c>
      <c r="E40" s="13"/>
      <c r="F40" s="13"/>
      <c r="G40" s="13"/>
      <c r="H40" s="13"/>
      <c r="I40" s="1"/>
      <c r="J40" s="1"/>
      <c r="K40" s="1"/>
      <c r="L40" s="1"/>
      <c r="M40" s="1"/>
      <c r="N40" s="1"/>
    </row>
    <row r="41" ht="27.75" customHeight="1">
      <c r="A41" s="1"/>
      <c r="B41" s="10"/>
      <c r="C41" s="47" t="str">
        <f>IF(B41="","",SUMIFS(tMovimientos[Fecha],tMovimientos[ID],B41))</f>
        <v/>
      </c>
      <c r="D41" s="14" t="str">
        <f>IF(B41="","",SUMIFS(tMovimientos[Importe],tMovimientos[ID],B41))</f>
        <v/>
      </c>
      <c r="E41" s="13"/>
      <c r="F41" s="13"/>
      <c r="G41" s="13"/>
      <c r="H41" s="13"/>
      <c r="I41" s="1"/>
      <c r="J41" s="1"/>
      <c r="K41" s="1"/>
      <c r="L41" s="1"/>
      <c r="M41" s="1"/>
      <c r="N41" s="1"/>
    </row>
    <row r="42" ht="27.75" customHeight="1">
      <c r="A42" s="1"/>
      <c r="B42" s="10"/>
      <c r="C42" s="47" t="str">
        <f>IF(B42="","",SUMIFS(tMovimientos[Fecha],tMovimientos[ID],B42))</f>
        <v/>
      </c>
      <c r="D42" s="14" t="str">
        <f>IF(B42="","",SUMIFS(tMovimientos[Importe],tMovimientos[ID],B42))</f>
        <v/>
      </c>
      <c r="E42" s="13"/>
      <c r="F42" s="13"/>
      <c r="G42" s="13"/>
      <c r="H42" s="13"/>
      <c r="I42" s="1"/>
      <c r="J42" s="1"/>
      <c r="K42" s="1"/>
      <c r="L42" s="1"/>
      <c r="M42" s="1"/>
      <c r="N42" s="1"/>
    </row>
    <row r="43" ht="27.75" customHeight="1">
      <c r="A43" s="1"/>
      <c r="B43" s="10"/>
      <c r="C43" s="47" t="str">
        <f>IF(B43="","",SUMIFS(tMovimientos[Fecha],tMovimientos[ID],B43))</f>
        <v/>
      </c>
      <c r="D43" s="14" t="str">
        <f>IF(B43="","",SUMIFS(tMovimientos[Importe],tMovimientos[ID],B43))</f>
        <v/>
      </c>
      <c r="E43" s="13"/>
      <c r="F43" s="13"/>
      <c r="G43" s="13"/>
      <c r="H43" s="13"/>
      <c r="I43" s="1"/>
      <c r="J43" s="1"/>
      <c r="K43" s="1"/>
      <c r="L43" s="1"/>
      <c r="M43" s="1"/>
      <c r="N43" s="1"/>
    </row>
    <row r="44" ht="27.75" customHeight="1">
      <c r="A44" s="1"/>
      <c r="B44" s="10"/>
      <c r="C44" s="47" t="str">
        <f>IF(B44="","",SUMIFS(tMovimientos[Fecha],tMovimientos[ID],B44))</f>
        <v/>
      </c>
      <c r="D44" s="14" t="str">
        <f>IF(B44="","",SUMIFS(tMovimientos[Importe],tMovimientos[ID],B44))</f>
        <v/>
      </c>
      <c r="E44" s="13"/>
      <c r="F44" s="13"/>
      <c r="G44" s="13"/>
      <c r="H44" s="13"/>
      <c r="I44" s="1"/>
      <c r="J44" s="1"/>
      <c r="K44" s="1"/>
      <c r="L44" s="1"/>
      <c r="M44" s="1"/>
      <c r="N44" s="1"/>
    </row>
    <row r="45" ht="27.75" customHeight="1">
      <c r="A45" s="1"/>
      <c r="B45" s="10"/>
      <c r="C45" s="47" t="str">
        <f>IF(B45="","",SUMIFS(tMovimientos[Fecha],tMovimientos[ID],B45))</f>
        <v/>
      </c>
      <c r="D45" s="14" t="str">
        <f>IF(B45="","",SUMIFS(tMovimientos[Importe],tMovimientos[ID],B45))</f>
        <v/>
      </c>
      <c r="E45" s="13"/>
      <c r="F45" s="13"/>
      <c r="G45" s="13"/>
      <c r="H45" s="13"/>
      <c r="I45" s="1"/>
      <c r="J45" s="1"/>
      <c r="K45" s="1"/>
      <c r="L45" s="1"/>
      <c r="M45" s="1"/>
      <c r="N45" s="1"/>
    </row>
    <row r="46" ht="27.75" customHeight="1">
      <c r="A46" s="1"/>
      <c r="B46" s="10"/>
      <c r="C46" s="47" t="str">
        <f>IF(B46="","",SUMIFS(tMovimientos[Fecha],tMovimientos[ID],B46))</f>
        <v/>
      </c>
      <c r="D46" s="14" t="str">
        <f>IF(B46="","",SUMIFS(tMovimientos[Importe],tMovimientos[ID],B46))</f>
        <v/>
      </c>
      <c r="E46" s="13"/>
      <c r="F46" s="13"/>
      <c r="G46" s="13"/>
      <c r="H46" s="13"/>
      <c r="I46" s="1"/>
      <c r="J46" s="1"/>
      <c r="K46" s="1"/>
      <c r="L46" s="1"/>
      <c r="M46" s="1"/>
      <c r="N46" s="1"/>
    </row>
    <row r="47" ht="27.75" customHeight="1">
      <c r="A47" s="1"/>
      <c r="B47" s="10"/>
      <c r="C47" s="47" t="str">
        <f>IF(B47="","",SUMIFS(tMovimientos[Fecha],tMovimientos[ID],B47))</f>
        <v/>
      </c>
      <c r="D47" s="14" t="str">
        <f>IF(B47="","",SUMIFS(tMovimientos[Importe],tMovimientos[ID],B47))</f>
        <v/>
      </c>
      <c r="E47" s="13"/>
      <c r="F47" s="13"/>
      <c r="G47" s="13"/>
      <c r="H47" s="13"/>
      <c r="I47" s="1"/>
      <c r="J47" s="1"/>
      <c r="K47" s="1"/>
      <c r="L47" s="1"/>
      <c r="M47" s="1"/>
      <c r="N47" s="1"/>
    </row>
    <row r="48" ht="27.75" customHeight="1">
      <c r="A48" s="1"/>
      <c r="B48" s="10"/>
      <c r="C48" s="47" t="str">
        <f>IF(B48="","",SUMIFS(tMovimientos[Fecha],tMovimientos[ID],B48))</f>
        <v/>
      </c>
      <c r="D48" s="14" t="str">
        <f>IF(B48="","",SUMIFS(tMovimientos[Importe],tMovimientos[ID],B48))</f>
        <v/>
      </c>
      <c r="E48" s="13"/>
      <c r="F48" s="13"/>
      <c r="G48" s="13"/>
      <c r="H48" s="13"/>
      <c r="I48" s="1"/>
      <c r="J48" s="1"/>
      <c r="K48" s="1"/>
      <c r="L48" s="1"/>
      <c r="M48" s="1"/>
      <c r="N48" s="1"/>
    </row>
    <row r="49" ht="27.75" customHeight="1">
      <c r="A49" s="1"/>
      <c r="B49" s="10"/>
      <c r="C49" s="47" t="str">
        <f>IF(B49="","",SUMIFS(tMovimientos[Fecha],tMovimientos[ID],B49))</f>
        <v/>
      </c>
      <c r="D49" s="14" t="str">
        <f>IF(B49="","",SUMIFS(tMovimientos[Importe],tMovimientos[ID],B49))</f>
        <v/>
      </c>
      <c r="E49" s="13"/>
      <c r="F49" s="13"/>
      <c r="G49" s="13"/>
      <c r="H49" s="13"/>
      <c r="I49" s="1"/>
      <c r="J49" s="1"/>
      <c r="K49" s="1"/>
      <c r="L49" s="1"/>
      <c r="M49" s="1"/>
      <c r="N49" s="1"/>
    </row>
    <row r="50" ht="27.75" customHeight="1">
      <c r="A50" s="1"/>
      <c r="B50" s="10"/>
      <c r="C50" s="47" t="str">
        <f>IF(B50="","",SUMIFS(tMovimientos[Fecha],tMovimientos[ID],B50))</f>
        <v/>
      </c>
      <c r="D50" s="14" t="str">
        <f>IF(B50="","",SUMIFS(tMovimientos[Importe],tMovimientos[ID],B50))</f>
        <v/>
      </c>
      <c r="E50" s="13"/>
      <c r="F50" s="13"/>
      <c r="G50" s="13"/>
      <c r="H50" s="13"/>
      <c r="I50" s="1"/>
      <c r="J50" s="1"/>
      <c r="K50" s="1"/>
      <c r="L50" s="1"/>
      <c r="M50" s="1"/>
      <c r="N50" s="1"/>
    </row>
    <row r="51" ht="27.75" customHeight="1">
      <c r="A51" s="1"/>
      <c r="B51" s="10"/>
      <c r="C51" s="47" t="str">
        <f>IF(B51="","",SUMIFS(tMovimientos[Fecha],tMovimientos[ID],B51))</f>
        <v/>
      </c>
      <c r="D51" s="14" t="str">
        <f>IF(B51="","",SUMIFS(tMovimientos[Importe],tMovimientos[ID],B51))</f>
        <v/>
      </c>
      <c r="E51" s="13"/>
      <c r="F51" s="13"/>
      <c r="G51" s="13"/>
      <c r="H51" s="13"/>
      <c r="I51" s="1"/>
      <c r="J51" s="1"/>
      <c r="K51" s="1"/>
      <c r="L51" s="1"/>
      <c r="M51" s="1"/>
      <c r="N51" s="1"/>
    </row>
    <row r="52" ht="27.75" customHeight="1">
      <c r="A52" s="1"/>
      <c r="B52" s="10"/>
      <c r="C52" s="47" t="str">
        <f>IF(B52="","",SUMIFS(tMovimientos[Fecha],tMovimientos[ID],B52))</f>
        <v/>
      </c>
      <c r="D52" s="14" t="str">
        <f>IF(B52="","",SUMIFS(tMovimientos[Importe],tMovimientos[ID],B52))</f>
        <v/>
      </c>
      <c r="E52" s="13"/>
      <c r="F52" s="13"/>
      <c r="G52" s="13"/>
      <c r="H52" s="13"/>
      <c r="I52" s="1"/>
      <c r="J52" s="1"/>
      <c r="K52" s="1"/>
      <c r="L52" s="1"/>
      <c r="M52" s="1"/>
      <c r="N52" s="1"/>
    </row>
    <row r="53" ht="27.75" customHeight="1">
      <c r="A53" s="1"/>
      <c r="B53" s="10"/>
      <c r="C53" s="47" t="str">
        <f>IF(B53="","",SUMIFS(tMovimientos[Fecha],tMovimientos[ID],B53))</f>
        <v/>
      </c>
      <c r="D53" s="14" t="str">
        <f>IF(B53="","",SUMIFS(tMovimientos[Importe],tMovimientos[ID],B53))</f>
        <v/>
      </c>
      <c r="E53" s="13"/>
      <c r="F53" s="13"/>
      <c r="G53" s="13"/>
      <c r="H53" s="13"/>
      <c r="I53" s="1"/>
      <c r="J53" s="1"/>
      <c r="K53" s="1"/>
      <c r="L53" s="1"/>
      <c r="M53" s="1"/>
      <c r="N53" s="1"/>
    </row>
    <row r="54" ht="27.75" customHeight="1">
      <c r="A54" s="1"/>
      <c r="B54" s="10"/>
      <c r="C54" s="47" t="str">
        <f>IF(B54="","",SUMIFS(tMovimientos[Fecha],tMovimientos[ID],B54))</f>
        <v/>
      </c>
      <c r="D54" s="14" t="str">
        <f>IF(B54="","",SUMIFS(tMovimientos[Importe],tMovimientos[ID],B54))</f>
        <v/>
      </c>
      <c r="E54" s="13"/>
      <c r="F54" s="13"/>
      <c r="G54" s="13"/>
      <c r="H54" s="13"/>
      <c r="I54" s="1"/>
      <c r="J54" s="1"/>
      <c r="K54" s="1"/>
      <c r="L54" s="1"/>
      <c r="M54" s="1"/>
      <c r="N54" s="1"/>
    </row>
    <row r="55" ht="27.75" customHeight="1">
      <c r="A55" s="1"/>
      <c r="B55" s="10"/>
      <c r="C55" s="47" t="str">
        <f>IF(B55="","",SUMIFS(tMovimientos[Fecha],tMovimientos[ID],B55))</f>
        <v/>
      </c>
      <c r="D55" s="14" t="str">
        <f>IF(B55="","",SUMIFS(tMovimientos[Importe],tMovimientos[ID],B55))</f>
        <v/>
      </c>
      <c r="E55" s="13"/>
      <c r="F55" s="13"/>
      <c r="G55" s="13"/>
      <c r="H55" s="13"/>
      <c r="I55" s="1"/>
      <c r="J55" s="1"/>
      <c r="K55" s="1"/>
      <c r="L55" s="1"/>
      <c r="M55" s="1"/>
      <c r="N55" s="1"/>
    </row>
    <row r="56" ht="27.75" customHeight="1">
      <c r="A56" s="1"/>
      <c r="B56" s="10"/>
      <c r="C56" s="47" t="str">
        <f>IF(B56="","",SUMIFS(tMovimientos[Fecha],tMovimientos[ID],B56))</f>
        <v/>
      </c>
      <c r="D56" s="14" t="str">
        <f>IF(B56="","",SUMIFS(tMovimientos[Importe],tMovimientos[ID],B56))</f>
        <v/>
      </c>
      <c r="E56" s="13"/>
      <c r="F56" s="13"/>
      <c r="G56" s="13"/>
      <c r="H56" s="13"/>
      <c r="I56" s="1"/>
      <c r="J56" s="1"/>
      <c r="K56" s="1"/>
      <c r="L56" s="1"/>
      <c r="M56" s="1"/>
      <c r="N56" s="1"/>
    </row>
    <row r="57" ht="27.75" customHeight="1">
      <c r="A57" s="1"/>
      <c r="B57" s="10"/>
      <c r="C57" s="47" t="str">
        <f>IF(B57="","",SUMIFS(tMovimientos[Fecha],tMovimientos[ID],B57))</f>
        <v/>
      </c>
      <c r="D57" s="14" t="str">
        <f>IF(B57="","",SUMIFS(tMovimientos[Importe],tMovimientos[ID],B57))</f>
        <v/>
      </c>
      <c r="E57" s="13"/>
      <c r="F57" s="13"/>
      <c r="G57" s="13"/>
      <c r="H57" s="13"/>
      <c r="I57" s="1"/>
      <c r="J57" s="1"/>
      <c r="K57" s="1"/>
      <c r="L57" s="1"/>
      <c r="M57" s="1"/>
      <c r="N57" s="1"/>
    </row>
    <row r="58" ht="27.75" customHeight="1">
      <c r="A58" s="1"/>
      <c r="B58" s="10"/>
      <c r="C58" s="47" t="str">
        <f>IF(B58="","",SUMIFS(tMovimientos[Fecha],tMovimientos[ID],B58))</f>
        <v/>
      </c>
      <c r="D58" s="14" t="str">
        <f>IF(B58="","",SUMIFS(tMovimientos[Importe],tMovimientos[ID],B58))</f>
        <v/>
      </c>
      <c r="E58" s="13"/>
      <c r="F58" s="13"/>
      <c r="G58" s="13"/>
      <c r="H58" s="13"/>
      <c r="I58" s="1"/>
      <c r="J58" s="1"/>
      <c r="K58" s="1"/>
      <c r="L58" s="1"/>
      <c r="M58" s="1"/>
      <c r="N58" s="1"/>
    </row>
    <row r="59" ht="27.75" customHeight="1">
      <c r="A59" s="1"/>
      <c r="B59" s="10"/>
      <c r="C59" s="47" t="str">
        <f>IF(B59="","",SUMIFS(tMovimientos[Fecha],tMovimientos[ID],B59))</f>
        <v/>
      </c>
      <c r="D59" s="14" t="str">
        <f>IF(B59="","",SUMIFS(tMovimientos[Importe],tMovimientos[ID],B59))</f>
        <v/>
      </c>
      <c r="E59" s="13"/>
      <c r="F59" s="13"/>
      <c r="G59" s="13"/>
      <c r="H59" s="13"/>
      <c r="I59" s="1"/>
      <c r="J59" s="1"/>
      <c r="K59" s="1"/>
      <c r="L59" s="1"/>
      <c r="M59" s="1"/>
      <c r="N59" s="1"/>
    </row>
    <row r="60" ht="27.75" customHeight="1">
      <c r="A60" s="1"/>
      <c r="B60" s="10"/>
      <c r="C60" s="47" t="str">
        <f>IF(B60="","",SUMIFS(tMovimientos[Fecha],tMovimientos[ID],B60))</f>
        <v/>
      </c>
      <c r="D60" s="14" t="str">
        <f>IF(B60="","",SUMIFS(tMovimientos[Importe],tMovimientos[ID],B60))</f>
        <v/>
      </c>
      <c r="E60" s="13"/>
      <c r="F60" s="13"/>
      <c r="G60" s="13"/>
      <c r="H60" s="13"/>
      <c r="I60" s="1"/>
      <c r="J60" s="1"/>
      <c r="K60" s="1"/>
      <c r="L60" s="1"/>
      <c r="M60" s="1"/>
      <c r="N60" s="1"/>
    </row>
    <row r="61" ht="27.75" customHeight="1">
      <c r="A61" s="1"/>
      <c r="B61" s="10"/>
      <c r="C61" s="47" t="str">
        <f>IF(B61="","",SUMIFS(tMovimientos[Fecha],tMovimientos[ID],B61))</f>
        <v/>
      </c>
      <c r="D61" s="14" t="str">
        <f>IF(B61="","",SUMIFS(tMovimientos[Importe],tMovimientos[ID],B61))</f>
        <v/>
      </c>
      <c r="E61" s="13"/>
      <c r="F61" s="13"/>
      <c r="G61" s="13"/>
      <c r="H61" s="13"/>
      <c r="I61" s="1"/>
      <c r="J61" s="1"/>
      <c r="K61" s="1"/>
      <c r="L61" s="1"/>
      <c r="M61" s="1"/>
      <c r="N61" s="1"/>
    </row>
    <row r="62" ht="27.75" customHeight="1">
      <c r="A62" s="1"/>
      <c r="B62" s="10"/>
      <c r="C62" s="47" t="str">
        <f>IF(B62="","",SUMIFS(tMovimientos[Fecha],tMovimientos[ID],B62))</f>
        <v/>
      </c>
      <c r="D62" s="14" t="str">
        <f>IF(B62="","",SUMIFS(tMovimientos[Importe],tMovimientos[ID],B62))</f>
        <v/>
      </c>
      <c r="E62" s="13"/>
      <c r="F62" s="13"/>
      <c r="G62" s="13"/>
      <c r="H62" s="13"/>
      <c r="I62" s="1"/>
      <c r="J62" s="1"/>
      <c r="K62" s="1"/>
      <c r="L62" s="1"/>
      <c r="M62" s="1"/>
      <c r="N62" s="1"/>
    </row>
    <row r="63" ht="27.75" customHeight="1">
      <c r="A63" s="1"/>
      <c r="B63" s="10"/>
      <c r="C63" s="47" t="str">
        <f>IF(B63="","",SUMIFS(tMovimientos[Fecha],tMovimientos[ID],B63))</f>
        <v/>
      </c>
      <c r="D63" s="14" t="str">
        <f>IF(B63="","",SUMIFS(tMovimientos[Importe],tMovimientos[ID],B63))</f>
        <v/>
      </c>
      <c r="E63" s="13"/>
      <c r="F63" s="13"/>
      <c r="G63" s="13"/>
      <c r="H63" s="13"/>
      <c r="I63" s="1"/>
      <c r="J63" s="1"/>
      <c r="K63" s="1"/>
      <c r="L63" s="1"/>
      <c r="M63" s="1"/>
      <c r="N63" s="1"/>
    </row>
    <row r="64" ht="27.75" customHeight="1">
      <c r="A64" s="1"/>
      <c r="B64" s="10"/>
      <c r="C64" s="47" t="str">
        <f>IF(B64="","",SUMIFS(tMovimientos[Fecha],tMovimientos[ID],B64))</f>
        <v/>
      </c>
      <c r="D64" s="14" t="str">
        <f>IF(B64="","",SUMIFS(tMovimientos[Importe],tMovimientos[ID],B64))</f>
        <v/>
      </c>
      <c r="E64" s="13"/>
      <c r="F64" s="13"/>
      <c r="G64" s="13"/>
      <c r="H64" s="13"/>
      <c r="I64" s="1"/>
      <c r="J64" s="1"/>
      <c r="K64" s="1"/>
      <c r="L64" s="1"/>
      <c r="M64" s="1"/>
      <c r="N64" s="1"/>
    </row>
    <row r="65" ht="27.75" customHeight="1">
      <c r="A65" s="1"/>
      <c r="B65" s="10"/>
      <c r="C65" s="47" t="str">
        <f>IF(B65="","",SUMIFS(tMovimientos[Fecha],tMovimientos[ID],B65))</f>
        <v/>
      </c>
      <c r="D65" s="14" t="str">
        <f>IF(B65="","",SUMIFS(tMovimientos[Importe],tMovimientos[ID],B65))</f>
        <v/>
      </c>
      <c r="E65" s="13"/>
      <c r="F65" s="13"/>
      <c r="G65" s="13"/>
      <c r="H65" s="13"/>
      <c r="I65" s="1"/>
      <c r="J65" s="1"/>
      <c r="K65" s="1"/>
      <c r="L65" s="1"/>
      <c r="M65" s="1"/>
      <c r="N65" s="1"/>
    </row>
    <row r="66" ht="27.75" customHeight="1">
      <c r="A66" s="1"/>
      <c r="B66" s="10"/>
      <c r="C66" s="47" t="str">
        <f>IF(B66="","",SUMIFS(tMovimientos[Fecha],tMovimientos[ID],B66))</f>
        <v/>
      </c>
      <c r="D66" s="14" t="str">
        <f>IF(B66="","",SUMIFS(tMovimientos[Importe],tMovimientos[ID],B66))</f>
        <v/>
      </c>
      <c r="E66" s="13"/>
      <c r="F66" s="13"/>
      <c r="G66" s="13"/>
      <c r="H66" s="13"/>
      <c r="I66" s="1"/>
      <c r="J66" s="1"/>
      <c r="K66" s="1"/>
      <c r="L66" s="1"/>
      <c r="M66" s="1"/>
      <c r="N66" s="1"/>
    </row>
    <row r="67" ht="27.75" customHeight="1">
      <c r="A67" s="1"/>
      <c r="B67" s="10"/>
      <c r="C67" s="47" t="str">
        <f>IF(B67="","",SUMIFS(tMovimientos[Fecha],tMovimientos[ID],B67))</f>
        <v/>
      </c>
      <c r="D67" s="14" t="str">
        <f>IF(B67="","",SUMIFS(tMovimientos[Importe],tMovimientos[ID],B67))</f>
        <v/>
      </c>
      <c r="E67" s="13"/>
      <c r="F67" s="13"/>
      <c r="G67" s="13"/>
      <c r="H67" s="13"/>
      <c r="I67" s="1"/>
      <c r="J67" s="1"/>
      <c r="K67" s="1"/>
      <c r="L67" s="1"/>
      <c r="M67" s="1"/>
      <c r="N67" s="1"/>
    </row>
    <row r="68" ht="27.75" customHeight="1">
      <c r="A68" s="1"/>
      <c r="B68" s="10"/>
      <c r="C68" s="47" t="str">
        <f>IF(B68="","",SUMIFS(tMovimientos[Fecha],tMovimientos[ID],B68))</f>
        <v/>
      </c>
      <c r="D68" s="14" t="str">
        <f>IF(B68="","",SUMIFS(tMovimientos[Importe],tMovimientos[ID],B68))</f>
        <v/>
      </c>
      <c r="E68" s="13"/>
      <c r="F68" s="13"/>
      <c r="G68" s="13"/>
      <c r="H68" s="13"/>
      <c r="I68" s="1"/>
      <c r="J68" s="1"/>
      <c r="K68" s="1"/>
      <c r="L68" s="1"/>
      <c r="M68" s="1"/>
      <c r="N68" s="1"/>
    </row>
    <row r="69" ht="27.75" customHeight="1">
      <c r="A69" s="1"/>
      <c r="B69" s="10"/>
      <c r="C69" s="47" t="str">
        <f>IF(B69="","",SUMIFS(tMovimientos[Fecha],tMovimientos[ID],B69))</f>
        <v/>
      </c>
      <c r="D69" s="14" t="str">
        <f>IF(B69="","",SUMIFS(tMovimientos[Importe],tMovimientos[ID],B69))</f>
        <v/>
      </c>
      <c r="E69" s="13"/>
      <c r="F69" s="13"/>
      <c r="G69" s="13"/>
      <c r="H69" s="13"/>
      <c r="I69" s="1"/>
      <c r="J69" s="1"/>
      <c r="K69" s="1"/>
      <c r="L69" s="1"/>
      <c r="M69" s="1"/>
      <c r="N69" s="1"/>
    </row>
    <row r="70" ht="27.75" customHeight="1">
      <c r="A70" s="1"/>
      <c r="B70" s="10"/>
      <c r="C70" s="47" t="str">
        <f>IF(B70="","",SUMIFS(tMovimientos[Fecha],tMovimientos[ID],B70))</f>
        <v/>
      </c>
      <c r="D70" s="14" t="str">
        <f>IF(B70="","",SUMIFS(tMovimientos[Importe],tMovimientos[ID],B70))</f>
        <v/>
      </c>
      <c r="E70" s="13"/>
      <c r="F70" s="13"/>
      <c r="G70" s="13"/>
      <c r="H70" s="13"/>
      <c r="I70" s="1"/>
      <c r="J70" s="1"/>
      <c r="K70" s="1"/>
      <c r="L70" s="1"/>
      <c r="M70" s="1"/>
      <c r="N70" s="1"/>
    </row>
    <row r="71" ht="27.75" customHeight="1">
      <c r="A71" s="1"/>
      <c r="B71" s="10"/>
      <c r="C71" s="47" t="str">
        <f>IF(B71="","",SUMIFS(tMovimientos[Fecha],tMovimientos[ID],B71))</f>
        <v/>
      </c>
      <c r="D71" s="14" t="str">
        <f>IF(B71="","",SUMIFS(tMovimientos[Importe],tMovimientos[ID],B71))</f>
        <v/>
      </c>
      <c r="E71" s="13"/>
      <c r="F71" s="13"/>
      <c r="G71" s="13"/>
      <c r="H71" s="13"/>
      <c r="I71" s="1"/>
      <c r="J71" s="1"/>
      <c r="K71" s="1"/>
      <c r="L71" s="1"/>
      <c r="M71" s="1"/>
      <c r="N71" s="1"/>
    </row>
    <row r="72" ht="27.75" customHeight="1">
      <c r="A72" s="1"/>
      <c r="B72" s="10"/>
      <c r="C72" s="47" t="str">
        <f>IF(B72="","",SUMIFS(tMovimientos[Fecha],tMovimientos[ID],B72))</f>
        <v/>
      </c>
      <c r="D72" s="14" t="str">
        <f>IF(B72="","",SUMIFS(tMovimientos[Importe],tMovimientos[ID],B72))</f>
        <v/>
      </c>
      <c r="E72" s="13"/>
      <c r="F72" s="13"/>
      <c r="G72" s="13"/>
      <c r="H72" s="13"/>
      <c r="I72" s="1"/>
      <c r="J72" s="1"/>
      <c r="K72" s="1"/>
      <c r="L72" s="1"/>
      <c r="M72" s="1"/>
      <c r="N72" s="1"/>
    </row>
    <row r="73" ht="27.75" customHeight="1">
      <c r="A73" s="1"/>
      <c r="B73" s="10"/>
      <c r="C73" s="47" t="str">
        <f>IF(B73="","",SUMIFS(tMovimientos[Fecha],tMovimientos[ID],B73))</f>
        <v/>
      </c>
      <c r="D73" s="14" t="str">
        <f>IF(B73="","",SUMIFS(tMovimientos[Importe],tMovimientos[ID],B73))</f>
        <v/>
      </c>
      <c r="E73" s="13"/>
      <c r="F73" s="13"/>
      <c r="G73" s="13"/>
      <c r="H73" s="13"/>
      <c r="I73" s="1"/>
      <c r="J73" s="1"/>
      <c r="K73" s="1"/>
      <c r="L73" s="1"/>
      <c r="M73" s="1"/>
      <c r="N73" s="1"/>
    </row>
    <row r="74" ht="27.75" customHeight="1">
      <c r="A74" s="1"/>
      <c r="B74" s="10"/>
      <c r="C74" s="47" t="str">
        <f>IF(B74="","",SUMIFS(tMovimientos[Fecha],tMovimientos[ID],B74))</f>
        <v/>
      </c>
      <c r="D74" s="14" t="str">
        <f>IF(B74="","",SUMIFS(tMovimientos[Importe],tMovimientos[ID],B74))</f>
        <v/>
      </c>
      <c r="E74" s="13"/>
      <c r="F74" s="13"/>
      <c r="G74" s="13"/>
      <c r="H74" s="13"/>
      <c r="I74" s="1"/>
      <c r="J74" s="1"/>
      <c r="K74" s="1"/>
      <c r="L74" s="1"/>
      <c r="M74" s="1"/>
      <c r="N74" s="1"/>
    </row>
    <row r="75" ht="27.75" customHeight="1">
      <c r="A75" s="1"/>
      <c r="B75" s="10"/>
      <c r="C75" s="47" t="str">
        <f>IF(B75="","",SUMIFS(tMovimientos[Fecha],tMovimientos[ID],B75))</f>
        <v/>
      </c>
      <c r="D75" s="14" t="str">
        <f>IF(B75="","",SUMIFS(tMovimientos[Importe],tMovimientos[ID],B75))</f>
        <v/>
      </c>
      <c r="E75" s="13"/>
      <c r="F75" s="13"/>
      <c r="G75" s="13"/>
      <c r="H75" s="13"/>
      <c r="I75" s="1"/>
      <c r="J75" s="1"/>
      <c r="K75" s="1"/>
      <c r="L75" s="1"/>
      <c r="M75" s="1"/>
      <c r="N75" s="1"/>
    </row>
    <row r="76" ht="27.75" customHeight="1">
      <c r="A76" s="1"/>
      <c r="B76" s="10"/>
      <c r="C76" s="47" t="str">
        <f>IF(B76="","",SUMIFS(tMovimientos[Fecha],tMovimientos[ID],B76))</f>
        <v/>
      </c>
      <c r="D76" s="14" t="str">
        <f>IF(B76="","",SUMIFS(tMovimientos[Importe],tMovimientos[ID],B76))</f>
        <v/>
      </c>
      <c r="E76" s="13"/>
      <c r="F76" s="13"/>
      <c r="G76" s="13"/>
      <c r="H76" s="13"/>
      <c r="I76" s="1"/>
      <c r="J76" s="1"/>
      <c r="K76" s="1"/>
      <c r="L76" s="1"/>
      <c r="M76" s="1"/>
      <c r="N76" s="1"/>
    </row>
    <row r="77" ht="27.75" customHeight="1">
      <c r="A77" s="1"/>
      <c r="B77" s="10"/>
      <c r="C77" s="47" t="str">
        <f>IF(B77="","",SUMIFS(tMovimientos[Fecha],tMovimientos[ID],B77))</f>
        <v/>
      </c>
      <c r="D77" s="14" t="str">
        <f>IF(B77="","",SUMIFS(tMovimientos[Importe],tMovimientos[ID],B77))</f>
        <v/>
      </c>
      <c r="E77" s="13"/>
      <c r="F77" s="13"/>
      <c r="G77" s="13"/>
      <c r="H77" s="13"/>
      <c r="I77" s="1"/>
      <c r="J77" s="1"/>
      <c r="K77" s="1"/>
      <c r="L77" s="1"/>
      <c r="M77" s="1"/>
      <c r="N77" s="1"/>
    </row>
    <row r="78" ht="27.75" customHeight="1">
      <c r="A78" s="1"/>
      <c r="B78" s="10"/>
      <c r="C78" s="47" t="str">
        <f>IF(B78="","",SUMIFS(tMovimientos[Fecha],tMovimientos[ID],B78))</f>
        <v/>
      </c>
      <c r="D78" s="14" t="str">
        <f>IF(B78="","",SUMIFS(tMovimientos[Importe],tMovimientos[ID],B78))</f>
        <v/>
      </c>
      <c r="E78" s="13"/>
      <c r="F78" s="13"/>
      <c r="G78" s="13"/>
      <c r="H78" s="13"/>
      <c r="I78" s="1"/>
      <c r="J78" s="1"/>
      <c r="K78" s="1"/>
      <c r="L78" s="1"/>
      <c r="M78" s="1"/>
      <c r="N78" s="1"/>
    </row>
    <row r="79" ht="27.75" customHeight="1">
      <c r="A79" s="1"/>
      <c r="B79" s="10"/>
      <c r="C79" s="47" t="str">
        <f>IF(B79="","",SUMIFS(tMovimientos[Fecha],tMovimientos[ID],B79))</f>
        <v/>
      </c>
      <c r="D79" s="14" t="str">
        <f>IF(B79="","",SUMIFS(tMovimientos[Importe],tMovimientos[ID],B79))</f>
        <v/>
      </c>
      <c r="E79" s="13"/>
      <c r="F79" s="13"/>
      <c r="G79" s="13"/>
      <c r="H79" s="13"/>
      <c r="I79" s="1"/>
      <c r="J79" s="1"/>
      <c r="K79" s="1"/>
      <c r="L79" s="1"/>
      <c r="M79" s="1"/>
      <c r="N79" s="1"/>
    </row>
    <row r="80" ht="27.75" customHeight="1">
      <c r="A80" s="1"/>
      <c r="B80" s="10"/>
      <c r="C80" s="47" t="str">
        <f>IF(B80="","",SUMIFS(tMovimientos[Fecha],tMovimientos[ID],B80))</f>
        <v/>
      </c>
      <c r="D80" s="14" t="str">
        <f>IF(B80="","",SUMIFS(tMovimientos[Importe],tMovimientos[ID],B80))</f>
        <v/>
      </c>
      <c r="E80" s="13"/>
      <c r="F80" s="13"/>
      <c r="G80" s="13"/>
      <c r="H80" s="13"/>
      <c r="I80" s="1"/>
      <c r="J80" s="1"/>
      <c r="K80" s="1"/>
      <c r="L80" s="1"/>
      <c r="M80" s="1"/>
      <c r="N80" s="1"/>
    </row>
    <row r="81" ht="27.75" customHeight="1">
      <c r="A81" s="1"/>
      <c r="B81" s="10"/>
      <c r="C81" s="47" t="str">
        <f>IF(B81="","",SUMIFS(tMovimientos[Fecha],tMovimientos[ID],B81))</f>
        <v/>
      </c>
      <c r="D81" s="14" t="str">
        <f>IF(B81="","",SUMIFS(tMovimientos[Importe],tMovimientos[ID],B81))</f>
        <v/>
      </c>
      <c r="E81" s="13"/>
      <c r="F81" s="13"/>
      <c r="G81" s="13"/>
      <c r="H81" s="13"/>
      <c r="I81" s="1"/>
      <c r="J81" s="1"/>
      <c r="K81" s="1"/>
      <c r="L81" s="1"/>
      <c r="M81" s="1"/>
      <c r="N81" s="1"/>
    </row>
    <row r="82" ht="27.75" customHeight="1">
      <c r="A82" s="1"/>
      <c r="B82" s="10"/>
      <c r="C82" s="47" t="str">
        <f>IF(B82="","",SUMIFS(tMovimientos[Fecha],tMovimientos[ID],B82))</f>
        <v/>
      </c>
      <c r="D82" s="14" t="str">
        <f>IF(B82="","",SUMIFS(tMovimientos[Importe],tMovimientos[ID],B82))</f>
        <v/>
      </c>
      <c r="E82" s="13"/>
      <c r="F82" s="13"/>
      <c r="G82" s="13"/>
      <c r="H82" s="13"/>
      <c r="I82" s="1"/>
      <c r="J82" s="1"/>
      <c r="K82" s="1"/>
      <c r="L82" s="1"/>
      <c r="M82" s="1"/>
      <c r="N82" s="1"/>
    </row>
    <row r="83" ht="27.75" customHeight="1">
      <c r="A83" s="1"/>
      <c r="B83" s="10"/>
      <c r="C83" s="47" t="str">
        <f>IF(B83="","",SUMIFS(tMovimientos[Fecha],tMovimientos[ID],B83))</f>
        <v/>
      </c>
      <c r="D83" s="14" t="str">
        <f>IF(B83="","",SUMIFS(tMovimientos[Importe],tMovimientos[ID],B83))</f>
        <v/>
      </c>
      <c r="E83" s="13"/>
      <c r="F83" s="13"/>
      <c r="G83" s="13"/>
      <c r="H83" s="13"/>
      <c r="I83" s="1"/>
      <c r="J83" s="1"/>
      <c r="K83" s="1"/>
      <c r="L83" s="1"/>
      <c r="M83" s="1"/>
      <c r="N83" s="1"/>
    </row>
    <row r="84" ht="27.75" customHeight="1">
      <c r="A84" s="1"/>
      <c r="B84" s="10"/>
      <c r="C84" s="47" t="str">
        <f>IF(B84="","",SUMIFS(tMovimientos[Fecha],tMovimientos[ID],B84))</f>
        <v/>
      </c>
      <c r="D84" s="14" t="str">
        <f>IF(B84="","",SUMIFS(tMovimientos[Importe],tMovimientos[ID],B84))</f>
        <v/>
      </c>
      <c r="E84" s="13"/>
      <c r="F84" s="13"/>
      <c r="G84" s="13"/>
      <c r="H84" s="13"/>
      <c r="I84" s="1"/>
      <c r="J84" s="1"/>
      <c r="K84" s="1"/>
      <c r="L84" s="1"/>
      <c r="M84" s="1"/>
      <c r="N84" s="1"/>
    </row>
    <row r="85" ht="27.75" customHeight="1">
      <c r="A85" s="1"/>
      <c r="B85" s="10"/>
      <c r="C85" s="47" t="str">
        <f>IF(B85="","",SUMIFS(tMovimientos[Fecha],tMovimientos[ID],B85))</f>
        <v/>
      </c>
      <c r="D85" s="14" t="str">
        <f>IF(B85="","",SUMIFS(tMovimientos[Importe],tMovimientos[ID],B85))</f>
        <v/>
      </c>
      <c r="E85" s="13"/>
      <c r="F85" s="13"/>
      <c r="G85" s="13"/>
      <c r="H85" s="13"/>
      <c r="I85" s="1"/>
      <c r="J85" s="1"/>
      <c r="K85" s="1"/>
      <c r="L85" s="1"/>
      <c r="M85" s="1"/>
      <c r="N85" s="1"/>
    </row>
    <row r="86" ht="27.75" customHeight="1">
      <c r="A86" s="1"/>
      <c r="B86" s="10"/>
      <c r="C86" s="47" t="str">
        <f>IF(B86="","",SUMIFS(tMovimientos[Fecha],tMovimientos[ID],B86))</f>
        <v/>
      </c>
      <c r="D86" s="14" t="str">
        <f>IF(B86="","",SUMIFS(tMovimientos[Importe],tMovimientos[ID],B86))</f>
        <v/>
      </c>
      <c r="E86" s="13"/>
      <c r="F86" s="13"/>
      <c r="G86" s="13"/>
      <c r="H86" s="13"/>
      <c r="I86" s="1"/>
      <c r="J86" s="1"/>
      <c r="K86" s="1"/>
      <c r="L86" s="1"/>
      <c r="M86" s="1"/>
      <c r="N86" s="1"/>
    </row>
    <row r="87" ht="27.75" customHeight="1">
      <c r="A87" s="1"/>
      <c r="B87" s="10"/>
      <c r="C87" s="47" t="str">
        <f>IF(B87="","",SUMIFS(tMovimientos[Fecha],tMovimientos[ID],B87))</f>
        <v/>
      </c>
      <c r="D87" s="14" t="str">
        <f>IF(B87="","",SUMIFS(tMovimientos[Importe],tMovimientos[ID],B87))</f>
        <v/>
      </c>
      <c r="E87" s="13"/>
      <c r="F87" s="13"/>
      <c r="G87" s="13"/>
      <c r="H87" s="13"/>
      <c r="I87" s="1"/>
      <c r="J87" s="1"/>
      <c r="K87" s="1"/>
      <c r="L87" s="1"/>
      <c r="M87" s="1"/>
      <c r="N87" s="1"/>
    </row>
    <row r="88" ht="27.75" customHeight="1">
      <c r="A88" s="1"/>
      <c r="B88" s="10"/>
      <c r="C88" s="47" t="str">
        <f>IF(B88="","",SUMIFS(tMovimientos[Fecha],tMovimientos[ID],B88))</f>
        <v/>
      </c>
      <c r="D88" s="14" t="str">
        <f>IF(B88="","",SUMIFS(tMovimientos[Importe],tMovimientos[ID],B88))</f>
        <v/>
      </c>
      <c r="E88" s="13"/>
      <c r="F88" s="13"/>
      <c r="G88" s="13"/>
      <c r="H88" s="13"/>
      <c r="I88" s="1"/>
      <c r="J88" s="1"/>
      <c r="K88" s="1"/>
      <c r="L88" s="1"/>
      <c r="M88" s="1"/>
      <c r="N88" s="1"/>
    </row>
    <row r="89" ht="27.75" customHeight="1">
      <c r="A89" s="1"/>
      <c r="B89" s="10"/>
      <c r="C89" s="47" t="str">
        <f>IF(B89="","",SUMIFS(tMovimientos[Fecha],tMovimientos[ID],B89))</f>
        <v/>
      </c>
      <c r="D89" s="14" t="str">
        <f>IF(B89="","",SUMIFS(tMovimientos[Importe],tMovimientos[ID],B89))</f>
        <v/>
      </c>
      <c r="E89" s="13"/>
      <c r="F89" s="13"/>
      <c r="G89" s="13"/>
      <c r="H89" s="13"/>
      <c r="I89" s="1"/>
      <c r="J89" s="1"/>
      <c r="K89" s="1"/>
      <c r="L89" s="1"/>
      <c r="M89" s="1"/>
      <c r="N89" s="1"/>
    </row>
    <row r="90" ht="27.75" customHeight="1">
      <c r="A90" s="1"/>
      <c r="B90" s="10"/>
      <c r="C90" s="47" t="str">
        <f>IF(B90="","",SUMIFS(tMovimientos[Fecha],tMovimientos[ID],B90))</f>
        <v/>
      </c>
      <c r="D90" s="14" t="str">
        <f>IF(B90="","",SUMIFS(tMovimientos[Importe],tMovimientos[ID],B90))</f>
        <v/>
      </c>
      <c r="E90" s="13"/>
      <c r="F90" s="13"/>
      <c r="G90" s="13"/>
      <c r="H90" s="13"/>
      <c r="I90" s="1"/>
      <c r="J90" s="1"/>
      <c r="K90" s="1"/>
      <c r="L90" s="1"/>
      <c r="M90" s="1"/>
      <c r="N90" s="1"/>
    </row>
    <row r="91" ht="27.75" customHeight="1">
      <c r="A91" s="1"/>
      <c r="B91" s="10"/>
      <c r="C91" s="47" t="str">
        <f>IF(B91="","",SUMIFS(tMovimientos[Fecha],tMovimientos[ID],B91))</f>
        <v/>
      </c>
      <c r="D91" s="14" t="str">
        <f>IF(B91="","",SUMIFS(tMovimientos[Importe],tMovimientos[ID],B91))</f>
        <v/>
      </c>
      <c r="E91" s="13"/>
      <c r="F91" s="13"/>
      <c r="G91" s="13"/>
      <c r="H91" s="13"/>
      <c r="I91" s="1"/>
      <c r="J91" s="1"/>
      <c r="K91" s="1"/>
      <c r="L91" s="1"/>
      <c r="M91" s="1"/>
      <c r="N91" s="1"/>
    </row>
    <row r="92" ht="27.75" customHeight="1">
      <c r="A92" s="1"/>
      <c r="B92" s="10"/>
      <c r="C92" s="47" t="str">
        <f>IF(B92="","",SUMIFS(tMovimientos[Fecha],tMovimientos[ID],B92))</f>
        <v/>
      </c>
      <c r="D92" s="14" t="str">
        <f>IF(B92="","",SUMIFS(tMovimientos[Importe],tMovimientos[ID],B92))</f>
        <v/>
      </c>
      <c r="E92" s="13"/>
      <c r="F92" s="13"/>
      <c r="G92" s="13"/>
      <c r="H92" s="13"/>
      <c r="I92" s="1"/>
      <c r="J92" s="1"/>
      <c r="K92" s="1"/>
      <c r="L92" s="1"/>
      <c r="M92" s="1"/>
      <c r="N92" s="1"/>
    </row>
    <row r="93" ht="27.75" customHeight="1">
      <c r="A93" s="1"/>
      <c r="B93" s="10"/>
      <c r="C93" s="47" t="str">
        <f>IF(B93="","",SUMIFS(tMovimientos[Fecha],tMovimientos[ID],B93))</f>
        <v/>
      </c>
      <c r="D93" s="14" t="str">
        <f>IF(B93="","",SUMIFS(tMovimientos[Importe],tMovimientos[ID],B93))</f>
        <v/>
      </c>
      <c r="E93" s="13"/>
      <c r="F93" s="13"/>
      <c r="G93" s="13"/>
      <c r="H93" s="13"/>
      <c r="I93" s="1"/>
      <c r="J93" s="1"/>
      <c r="K93" s="1"/>
      <c r="L93" s="1"/>
      <c r="M93" s="1"/>
      <c r="N93" s="1"/>
    </row>
    <row r="94" ht="27.75" customHeight="1">
      <c r="A94" s="1"/>
      <c r="B94" s="10"/>
      <c r="C94" s="47" t="str">
        <f>IF(B94="","",SUMIFS(tMovimientos[Fecha],tMovimientos[ID],B94))</f>
        <v/>
      </c>
      <c r="D94" s="14" t="str">
        <f>IF(B94="","",SUMIFS(tMovimientos[Importe],tMovimientos[ID],B94))</f>
        <v/>
      </c>
      <c r="E94" s="13"/>
      <c r="F94" s="13"/>
      <c r="G94" s="13"/>
      <c r="H94" s="13"/>
      <c r="I94" s="1"/>
      <c r="J94" s="1"/>
      <c r="K94" s="1"/>
      <c r="L94" s="1"/>
      <c r="M94" s="1"/>
      <c r="N94" s="1"/>
    </row>
    <row r="95" ht="27.75" customHeight="1">
      <c r="A95" s="1"/>
      <c r="B95" s="10"/>
      <c r="C95" s="47" t="str">
        <f>IF(B95="","",SUMIFS(tMovimientos[Fecha],tMovimientos[ID],B95))</f>
        <v/>
      </c>
      <c r="D95" s="14" t="str">
        <f>IF(B95="","",SUMIFS(tMovimientos[Importe],tMovimientos[ID],B95))</f>
        <v/>
      </c>
      <c r="E95" s="13"/>
      <c r="F95" s="13"/>
      <c r="G95" s="13"/>
      <c r="H95" s="13"/>
      <c r="I95" s="1"/>
      <c r="J95" s="1"/>
      <c r="K95" s="1"/>
      <c r="L95" s="1"/>
      <c r="M95" s="1"/>
      <c r="N95" s="1"/>
    </row>
    <row r="96" ht="27.75" customHeight="1">
      <c r="A96" s="1"/>
      <c r="B96" s="10"/>
      <c r="C96" s="47" t="str">
        <f>IF(B96="","",SUMIFS(tMovimientos[Fecha],tMovimientos[ID],B96))</f>
        <v/>
      </c>
      <c r="D96" s="14" t="str">
        <f>IF(B96="","",SUMIFS(tMovimientos[Importe],tMovimientos[ID],B96))</f>
        <v/>
      </c>
      <c r="E96" s="13"/>
      <c r="F96" s="13"/>
      <c r="G96" s="13"/>
      <c r="H96" s="13"/>
      <c r="I96" s="1"/>
      <c r="J96" s="1"/>
      <c r="K96" s="1"/>
      <c r="L96" s="1"/>
      <c r="M96" s="1"/>
      <c r="N96" s="1"/>
    </row>
    <row r="97" ht="27.75" customHeight="1">
      <c r="A97" s="1"/>
      <c r="B97" s="10"/>
      <c r="C97" s="47" t="str">
        <f>IF(B97="","",SUMIFS(tMovimientos[Fecha],tMovimientos[ID],B97))</f>
        <v/>
      </c>
      <c r="D97" s="14" t="str">
        <f>IF(B97="","",SUMIFS(tMovimientos[Importe],tMovimientos[ID],B97))</f>
        <v/>
      </c>
      <c r="E97" s="13"/>
      <c r="F97" s="13"/>
      <c r="G97" s="13"/>
      <c r="H97" s="13"/>
      <c r="I97" s="1"/>
      <c r="J97" s="1"/>
      <c r="K97" s="1"/>
      <c r="L97" s="1"/>
      <c r="M97" s="1"/>
      <c r="N97" s="1"/>
    </row>
    <row r="98" ht="27.75" customHeight="1">
      <c r="A98" s="1"/>
      <c r="B98" s="10"/>
      <c r="C98" s="47" t="str">
        <f>IF(B98="","",SUMIFS(tMovimientos[Fecha],tMovimientos[ID],B98))</f>
        <v/>
      </c>
      <c r="D98" s="14" t="str">
        <f>IF(B98="","",SUMIFS(tMovimientos[Importe],tMovimientos[ID],B98))</f>
        <v/>
      </c>
      <c r="E98" s="13"/>
      <c r="F98" s="13"/>
      <c r="G98" s="13"/>
      <c r="H98" s="13"/>
      <c r="I98" s="1"/>
      <c r="J98" s="1"/>
      <c r="K98" s="1"/>
      <c r="L98" s="1"/>
      <c r="M98" s="1"/>
      <c r="N98" s="1"/>
    </row>
    <row r="99" ht="27.75" customHeight="1">
      <c r="A99" s="1"/>
      <c r="B99" s="10"/>
      <c r="C99" s="47" t="str">
        <f>IF(B99="","",SUMIFS(tMovimientos[Fecha],tMovimientos[ID],B99))</f>
        <v/>
      </c>
      <c r="D99" s="14" t="str">
        <f>IF(B99="","",SUMIFS(tMovimientos[Importe],tMovimientos[ID],B99))</f>
        <v/>
      </c>
      <c r="E99" s="13"/>
      <c r="F99" s="13"/>
      <c r="G99" s="13"/>
      <c r="H99" s="13"/>
      <c r="I99" s="1"/>
      <c r="J99" s="1"/>
      <c r="K99" s="1"/>
      <c r="L99" s="1"/>
      <c r="M99" s="1"/>
      <c r="N99" s="1"/>
    </row>
    <row r="100" ht="27.75" customHeight="1">
      <c r="A100" s="1"/>
      <c r="B100" s="10"/>
      <c r="C100" s="47" t="str">
        <f>IF(B100="","",SUMIFS(tMovimientos[Fecha],tMovimientos[ID],B100))</f>
        <v/>
      </c>
      <c r="D100" s="14" t="str">
        <f>IF(B100="","",SUMIFS(tMovimientos[Importe],tMovimientos[ID],B100))</f>
        <v/>
      </c>
      <c r="E100" s="13"/>
      <c r="F100" s="13"/>
      <c r="G100" s="13"/>
      <c r="H100" s="13"/>
      <c r="I100" s="1"/>
      <c r="J100" s="1"/>
      <c r="K100" s="1"/>
      <c r="L100" s="1"/>
      <c r="M100" s="1"/>
      <c r="N100" s="1"/>
    </row>
    <row r="101" ht="27.75" customHeight="1">
      <c r="A101" s="1"/>
      <c r="B101" s="10"/>
      <c r="C101" s="47" t="str">
        <f>IF(B101="","",SUMIFS(tMovimientos[Fecha],tMovimientos[ID],B101))</f>
        <v/>
      </c>
      <c r="D101" s="14" t="str">
        <f>IF(B101="","",SUMIFS(tMovimientos[Importe],tMovimientos[ID],B101))</f>
        <v/>
      </c>
      <c r="E101" s="13"/>
      <c r="F101" s="13"/>
      <c r="G101" s="13"/>
      <c r="H101" s="13"/>
      <c r="I101" s="1"/>
      <c r="J101" s="1"/>
      <c r="K101" s="1"/>
      <c r="L101" s="1"/>
      <c r="M101" s="1"/>
      <c r="N101" s="1"/>
    </row>
    <row r="102" ht="27.75" customHeight="1">
      <c r="A102" s="1"/>
      <c r="B102" s="10"/>
      <c r="C102" s="47" t="str">
        <f>IF(B102="","",SUMIFS(tMovimientos[Fecha],tMovimientos[ID],B102))</f>
        <v/>
      </c>
      <c r="D102" s="14" t="str">
        <f>IF(B102="","",SUMIFS(tMovimientos[Importe],tMovimientos[ID],B102))</f>
        <v/>
      </c>
      <c r="E102" s="13"/>
      <c r="F102" s="13"/>
      <c r="G102" s="13"/>
      <c r="H102" s="13"/>
      <c r="I102" s="1"/>
      <c r="J102" s="1"/>
      <c r="K102" s="1"/>
      <c r="L102" s="1"/>
      <c r="M102" s="1"/>
      <c r="N102" s="1"/>
    </row>
    <row r="103" ht="27.75" customHeight="1">
      <c r="A103" s="1"/>
      <c r="B103" s="10"/>
      <c r="C103" s="47" t="str">
        <f>IF(B103="","",SUMIFS(tMovimientos[Fecha],tMovimientos[ID],B103))</f>
        <v/>
      </c>
      <c r="D103" s="14" t="str">
        <f>IF(B103="","",SUMIFS(tMovimientos[Importe],tMovimientos[ID],B103))</f>
        <v/>
      </c>
      <c r="E103" s="13"/>
      <c r="F103" s="13"/>
      <c r="G103" s="13"/>
      <c r="H103" s="13"/>
      <c r="I103" s="1"/>
      <c r="J103" s="1"/>
      <c r="K103" s="1"/>
      <c r="L103" s="1"/>
      <c r="M103" s="1"/>
      <c r="N103" s="1"/>
    </row>
    <row r="104" ht="27.75" customHeight="1">
      <c r="A104" s="1"/>
      <c r="B104" s="10"/>
      <c r="C104" s="47" t="str">
        <f>IF(B104="","",SUMIFS(tMovimientos[Fecha],tMovimientos[ID],B104))</f>
        <v/>
      </c>
      <c r="D104" s="14" t="str">
        <f>IF(B104="","",SUMIFS(tMovimientos[Importe],tMovimientos[ID],B104))</f>
        <v/>
      </c>
      <c r="E104" s="13"/>
      <c r="F104" s="13"/>
      <c r="G104" s="13"/>
      <c r="H104" s="13"/>
      <c r="I104" s="1"/>
      <c r="J104" s="1"/>
      <c r="K104" s="1"/>
      <c r="L104" s="1"/>
      <c r="M104" s="1"/>
      <c r="N104" s="1"/>
    </row>
    <row r="105" ht="27.75" customHeight="1">
      <c r="A105" s="1"/>
      <c r="B105" s="10"/>
      <c r="C105" s="47" t="str">
        <f>IF(B105="","",SUMIFS(tMovimientos[Fecha],tMovimientos[ID],B105))</f>
        <v/>
      </c>
      <c r="D105" s="14" t="str">
        <f>IF(B105="","",SUMIFS(tMovimientos[Importe],tMovimientos[ID],B105))</f>
        <v/>
      </c>
      <c r="E105" s="13"/>
      <c r="F105" s="13"/>
      <c r="G105" s="13"/>
      <c r="H105" s="13"/>
      <c r="I105" s="1"/>
      <c r="J105" s="1"/>
      <c r="K105" s="1"/>
      <c r="L105" s="1"/>
      <c r="M105" s="1"/>
      <c r="N105" s="1"/>
    </row>
    <row r="106" ht="27.75" customHeight="1">
      <c r="A106" s="1"/>
      <c r="B106" s="10"/>
      <c r="C106" s="47" t="str">
        <f>IF(B106="","",SUMIFS(tMovimientos[Fecha],tMovimientos[ID],B106))</f>
        <v/>
      </c>
      <c r="D106" s="14" t="str">
        <f>IF(B106="","",SUMIFS(tMovimientos[Importe],tMovimientos[ID],B106))</f>
        <v/>
      </c>
      <c r="E106" s="13"/>
      <c r="F106" s="13"/>
      <c r="G106" s="13"/>
      <c r="H106" s="13"/>
      <c r="I106" s="1"/>
      <c r="J106" s="1"/>
      <c r="K106" s="1"/>
      <c r="L106" s="1"/>
      <c r="M106" s="1"/>
      <c r="N106" s="1"/>
    </row>
    <row r="107" ht="27.75" customHeight="1">
      <c r="A107" s="1"/>
      <c r="B107" s="10"/>
      <c r="C107" s="47" t="str">
        <f>IF(B107="","",SUMIFS(tMovimientos[Fecha],tMovimientos[ID],B107))</f>
        <v/>
      </c>
      <c r="D107" s="14" t="str">
        <f>IF(B107="","",SUMIFS(tMovimientos[Importe],tMovimientos[ID],B107))</f>
        <v/>
      </c>
      <c r="E107" s="13"/>
      <c r="F107" s="13"/>
      <c r="G107" s="13"/>
      <c r="H107" s="13"/>
      <c r="I107" s="1"/>
      <c r="J107" s="1"/>
      <c r="K107" s="1"/>
      <c r="L107" s="1"/>
      <c r="M107" s="1"/>
      <c r="N107" s="1"/>
    </row>
    <row r="108" ht="27.75" customHeight="1">
      <c r="A108" s="1"/>
      <c r="B108" s="10"/>
      <c r="C108" s="47" t="str">
        <f>IF(B108="","",SUMIFS(tMovimientos[Fecha],tMovimientos[ID],B108))</f>
        <v/>
      </c>
      <c r="D108" s="14" t="str">
        <f>IF(B108="","",SUMIFS(tMovimientos[Importe],tMovimientos[ID],B108))</f>
        <v/>
      </c>
      <c r="E108" s="13"/>
      <c r="F108" s="13"/>
      <c r="G108" s="13"/>
      <c r="H108" s="13"/>
      <c r="I108" s="1"/>
      <c r="J108" s="1"/>
      <c r="K108" s="1"/>
      <c r="L108" s="1"/>
      <c r="M108" s="1"/>
      <c r="N108" s="1"/>
    </row>
    <row r="109" ht="27.75" customHeight="1">
      <c r="A109" s="1"/>
      <c r="B109" s="10"/>
      <c r="C109" s="47" t="str">
        <f>IF(B109="","",SUMIFS(tMovimientos[Fecha],tMovimientos[ID],B109))</f>
        <v/>
      </c>
      <c r="D109" s="14" t="str">
        <f>IF(B109="","",SUMIFS(tMovimientos[Importe],tMovimientos[ID],B109))</f>
        <v/>
      </c>
      <c r="E109" s="13"/>
      <c r="F109" s="13"/>
      <c r="G109" s="13"/>
      <c r="H109" s="13"/>
      <c r="I109" s="1"/>
      <c r="J109" s="1"/>
      <c r="K109" s="1"/>
      <c r="L109" s="1"/>
      <c r="M109" s="1"/>
      <c r="N109" s="1"/>
    </row>
    <row r="110" ht="27.75" customHeight="1">
      <c r="A110" s="1"/>
      <c r="B110" s="10"/>
      <c r="C110" s="47" t="str">
        <f>IF(B110="","",SUMIFS(tMovimientos[Fecha],tMovimientos[ID],B110))</f>
        <v/>
      </c>
      <c r="D110" s="14" t="str">
        <f>IF(B110="","",SUMIFS(tMovimientos[Importe],tMovimientos[ID],B110))</f>
        <v/>
      </c>
      <c r="E110" s="13"/>
      <c r="F110" s="13"/>
      <c r="G110" s="13"/>
      <c r="H110" s="13"/>
      <c r="I110" s="1"/>
      <c r="J110" s="1"/>
      <c r="K110" s="1"/>
      <c r="L110" s="1"/>
      <c r="M110" s="1"/>
      <c r="N110" s="1"/>
    </row>
    <row r="111" ht="27.75" customHeight="1">
      <c r="A111" s="1"/>
      <c r="B111" s="10"/>
      <c r="C111" s="47" t="str">
        <f>IF(B111="","",SUMIFS(tMovimientos[Fecha],tMovimientos[ID],B111))</f>
        <v/>
      </c>
      <c r="D111" s="14" t="str">
        <f>IF(B111="","",SUMIFS(tMovimientos[Importe],tMovimientos[ID],B111))</f>
        <v/>
      </c>
      <c r="E111" s="13"/>
      <c r="F111" s="13"/>
      <c r="G111" s="13"/>
      <c r="H111" s="13"/>
      <c r="I111" s="1"/>
      <c r="J111" s="1"/>
      <c r="K111" s="1"/>
      <c r="L111" s="1"/>
      <c r="M111" s="1"/>
      <c r="N111" s="1"/>
    </row>
    <row r="112" ht="27.75" customHeight="1">
      <c r="A112" s="1"/>
      <c r="B112" s="10"/>
      <c r="C112" s="47" t="str">
        <f>IF(B112="","",SUMIFS(tMovimientos[Fecha],tMovimientos[ID],B112))</f>
        <v/>
      </c>
      <c r="D112" s="14" t="str">
        <f>IF(B112="","",SUMIFS(tMovimientos[Importe],tMovimientos[ID],B112))</f>
        <v/>
      </c>
      <c r="E112" s="13"/>
      <c r="F112" s="13"/>
      <c r="G112" s="13"/>
      <c r="H112" s="13"/>
      <c r="I112" s="1"/>
      <c r="J112" s="1"/>
      <c r="K112" s="1"/>
      <c r="L112" s="1"/>
      <c r="M112" s="1"/>
      <c r="N112" s="1"/>
    </row>
    <row r="113" ht="27.75" customHeight="1">
      <c r="A113" s="1"/>
      <c r="B113" s="10"/>
      <c r="C113" s="47" t="str">
        <f>IF(B113="","",SUMIFS(tMovimientos[Fecha],tMovimientos[ID],B113))</f>
        <v/>
      </c>
      <c r="D113" s="14" t="str">
        <f>IF(B113="","",SUMIFS(tMovimientos[Importe],tMovimientos[ID],B113))</f>
        <v/>
      </c>
      <c r="E113" s="13"/>
      <c r="F113" s="13"/>
      <c r="G113" s="13"/>
      <c r="H113" s="13"/>
      <c r="I113" s="1"/>
      <c r="J113" s="1"/>
      <c r="K113" s="1"/>
      <c r="L113" s="1"/>
      <c r="M113" s="1"/>
      <c r="N113" s="1"/>
    </row>
    <row r="114" ht="27.75" customHeight="1">
      <c r="A114" s="1"/>
      <c r="B114" s="10"/>
      <c r="C114" s="47" t="str">
        <f>IF(B114="","",SUMIFS(tMovimientos[Fecha],tMovimientos[ID],B114))</f>
        <v/>
      </c>
      <c r="D114" s="14" t="str">
        <f>IF(B114="","",SUMIFS(tMovimientos[Importe],tMovimientos[ID],B114))</f>
        <v/>
      </c>
      <c r="E114" s="13"/>
      <c r="F114" s="13"/>
      <c r="G114" s="13"/>
      <c r="H114" s="13"/>
      <c r="I114" s="1"/>
      <c r="J114" s="1"/>
      <c r="K114" s="1"/>
      <c r="L114" s="1"/>
      <c r="M114" s="1"/>
      <c r="N114" s="1"/>
    </row>
    <row r="115" ht="27.75" customHeight="1">
      <c r="A115" s="1"/>
      <c r="B115" s="10"/>
      <c r="C115" s="47" t="str">
        <f>IF(B115="","",SUMIFS(tMovimientos[Fecha],tMovimientos[ID],B115))</f>
        <v/>
      </c>
      <c r="D115" s="14" t="str">
        <f>IF(B115="","",SUMIFS(tMovimientos[Importe],tMovimientos[ID],B115))</f>
        <v/>
      </c>
      <c r="E115" s="13"/>
      <c r="F115" s="13"/>
      <c r="G115" s="13"/>
      <c r="H115" s="13"/>
      <c r="I115" s="1"/>
      <c r="J115" s="1"/>
      <c r="K115" s="1"/>
      <c r="L115" s="1"/>
      <c r="M115" s="1"/>
      <c r="N115" s="1"/>
    </row>
    <row r="116" ht="27.75" customHeight="1">
      <c r="A116" s="1"/>
      <c r="B116" s="10"/>
      <c r="C116" s="47" t="str">
        <f>IF(B116="","",SUMIFS(tMovimientos[Fecha],tMovimientos[ID],B116))</f>
        <v/>
      </c>
      <c r="D116" s="14" t="str">
        <f>IF(B116="","",SUMIFS(tMovimientos[Importe],tMovimientos[ID],B116))</f>
        <v/>
      </c>
      <c r="E116" s="13"/>
      <c r="F116" s="13"/>
      <c r="G116" s="13"/>
      <c r="H116" s="13"/>
      <c r="I116" s="1"/>
      <c r="J116" s="1"/>
      <c r="K116" s="1"/>
      <c r="L116" s="1"/>
      <c r="M116" s="1"/>
      <c r="N116" s="1"/>
    </row>
    <row r="117" ht="27.75" customHeight="1">
      <c r="A117" s="1"/>
      <c r="B117" s="10"/>
      <c r="C117" s="47" t="str">
        <f>IF(B117="","",SUMIFS(tMovimientos[Fecha],tMovimientos[ID],B117))</f>
        <v/>
      </c>
      <c r="D117" s="14" t="str">
        <f>IF(B117="","",SUMIFS(tMovimientos[Importe],tMovimientos[ID],B117))</f>
        <v/>
      </c>
      <c r="E117" s="13"/>
      <c r="F117" s="13"/>
      <c r="G117" s="13"/>
      <c r="H117" s="13"/>
      <c r="I117" s="1"/>
      <c r="J117" s="1"/>
      <c r="K117" s="1"/>
      <c r="L117" s="1"/>
      <c r="M117" s="1"/>
      <c r="N117" s="1"/>
    </row>
    <row r="118" ht="27.75" customHeight="1">
      <c r="A118" s="1"/>
      <c r="B118" s="10"/>
      <c r="C118" s="47" t="str">
        <f>IF(B118="","",SUMIFS(tMovimientos[Fecha],tMovimientos[ID],B118))</f>
        <v/>
      </c>
      <c r="D118" s="14" t="str">
        <f>IF(B118="","",SUMIFS(tMovimientos[Importe],tMovimientos[ID],B118))</f>
        <v/>
      </c>
      <c r="E118" s="13"/>
      <c r="F118" s="13"/>
      <c r="G118" s="13"/>
      <c r="H118" s="13"/>
      <c r="I118" s="1"/>
      <c r="J118" s="1"/>
      <c r="K118" s="1"/>
      <c r="L118" s="1"/>
      <c r="M118" s="1"/>
      <c r="N118" s="1"/>
    </row>
    <row r="119" ht="27.75" customHeight="1">
      <c r="A119" s="1"/>
      <c r="B119" s="10"/>
      <c r="C119" s="47" t="str">
        <f>IF(B119="","",SUMIFS(tMovimientos[Fecha],tMovimientos[ID],B119))</f>
        <v/>
      </c>
      <c r="D119" s="14" t="str">
        <f>IF(B119="","",SUMIFS(tMovimientos[Importe],tMovimientos[ID],B119))</f>
        <v/>
      </c>
      <c r="E119" s="13"/>
      <c r="F119" s="13"/>
      <c r="G119" s="13"/>
      <c r="H119" s="13"/>
      <c r="I119" s="1"/>
      <c r="J119" s="1"/>
      <c r="K119" s="1"/>
      <c r="L119" s="1"/>
      <c r="M119" s="1"/>
      <c r="N119" s="1"/>
    </row>
    <row r="120" ht="27.75" customHeight="1">
      <c r="A120" s="1"/>
      <c r="B120" s="10"/>
      <c r="C120" s="47" t="str">
        <f>IF(B120="","",SUMIFS(tMovimientos[Fecha],tMovimientos[ID],B120))</f>
        <v/>
      </c>
      <c r="D120" s="14" t="str">
        <f>IF(B120="","",SUMIFS(tMovimientos[Importe],tMovimientos[ID],B120))</f>
        <v/>
      </c>
      <c r="E120" s="13"/>
      <c r="F120" s="13"/>
      <c r="G120" s="13"/>
      <c r="H120" s="13"/>
      <c r="I120" s="1"/>
      <c r="J120" s="1"/>
      <c r="K120" s="1"/>
      <c r="L120" s="1"/>
      <c r="M120" s="1"/>
      <c r="N120" s="1"/>
    </row>
    <row r="121" ht="27.75" customHeight="1">
      <c r="A121" s="1"/>
      <c r="B121" s="10"/>
      <c r="C121" s="47" t="str">
        <f>IF(B121="","",SUMIFS(tMovimientos[Fecha],tMovimientos[ID],B121))</f>
        <v/>
      </c>
      <c r="D121" s="14" t="str">
        <f>IF(B121="","",SUMIFS(tMovimientos[Importe],tMovimientos[ID],B121))</f>
        <v/>
      </c>
      <c r="E121" s="13"/>
      <c r="F121" s="13"/>
      <c r="G121" s="13"/>
      <c r="H121" s="13"/>
      <c r="I121" s="1"/>
      <c r="J121" s="1"/>
      <c r="K121" s="1"/>
      <c r="L121" s="1"/>
      <c r="M121" s="1"/>
      <c r="N121" s="1"/>
    </row>
    <row r="122" ht="27.75" customHeight="1">
      <c r="A122" s="1"/>
      <c r="B122" s="10"/>
      <c r="C122" s="47" t="str">
        <f>IF(B122="","",SUMIFS(tMovimientos[Fecha],tMovimientos[ID],B122))</f>
        <v/>
      </c>
      <c r="D122" s="14" t="str">
        <f>IF(B122="","",SUMIFS(tMovimientos[Importe],tMovimientos[ID],B122))</f>
        <v/>
      </c>
      <c r="E122" s="13"/>
      <c r="F122" s="13"/>
      <c r="G122" s="13"/>
      <c r="H122" s="13"/>
      <c r="I122" s="1"/>
      <c r="J122" s="1"/>
      <c r="K122" s="1"/>
      <c r="L122" s="1"/>
      <c r="M122" s="1"/>
      <c r="N122" s="1"/>
    </row>
    <row r="123" ht="27.75" customHeight="1">
      <c r="A123" s="1"/>
      <c r="B123" s="10"/>
      <c r="C123" s="47" t="str">
        <f>IF(B123="","",SUMIFS(tMovimientos[Fecha],tMovimientos[ID],B123))</f>
        <v/>
      </c>
      <c r="D123" s="14" t="str">
        <f>IF(B123="","",SUMIFS(tMovimientos[Importe],tMovimientos[ID],B123))</f>
        <v/>
      </c>
      <c r="E123" s="13"/>
      <c r="F123" s="13"/>
      <c r="G123" s="13"/>
      <c r="H123" s="13"/>
      <c r="I123" s="1"/>
      <c r="J123" s="1"/>
      <c r="K123" s="1"/>
      <c r="L123" s="1"/>
      <c r="M123" s="1"/>
      <c r="N123" s="1"/>
    </row>
    <row r="124" ht="27.75" customHeight="1">
      <c r="A124" s="1"/>
      <c r="B124" s="10"/>
      <c r="C124" s="47" t="str">
        <f>IF(B124="","",SUMIFS(tMovimientos[Fecha],tMovimientos[ID],B124))</f>
        <v/>
      </c>
      <c r="D124" s="14" t="str">
        <f>IF(B124="","",SUMIFS(tMovimientos[Importe],tMovimientos[ID],B124))</f>
        <v/>
      </c>
      <c r="E124" s="13"/>
      <c r="F124" s="13"/>
      <c r="G124" s="13"/>
      <c r="H124" s="13"/>
      <c r="I124" s="1"/>
      <c r="J124" s="1"/>
      <c r="K124" s="1"/>
      <c r="L124" s="1"/>
      <c r="M124" s="1"/>
      <c r="N124" s="1"/>
    </row>
    <row r="125" ht="27.75" customHeight="1">
      <c r="A125" s="1"/>
      <c r="B125" s="10"/>
      <c r="C125" s="47" t="str">
        <f>IF(B125="","",SUMIFS(tMovimientos[Fecha],tMovimientos[ID],B125))</f>
        <v/>
      </c>
      <c r="D125" s="14" t="str">
        <f>IF(B125="","",SUMIFS(tMovimientos[Importe],tMovimientos[ID],B125))</f>
        <v/>
      </c>
      <c r="E125" s="13"/>
      <c r="F125" s="13"/>
      <c r="G125" s="13"/>
      <c r="H125" s="13"/>
      <c r="I125" s="1"/>
      <c r="J125" s="1"/>
      <c r="K125" s="1"/>
      <c r="L125" s="1"/>
      <c r="M125" s="1"/>
      <c r="N125" s="1"/>
    </row>
    <row r="126" ht="27.75" customHeight="1">
      <c r="A126" s="1"/>
      <c r="B126" s="10"/>
      <c r="C126" s="47" t="str">
        <f>IF(B126="","",SUMIFS(tMovimientos[Fecha],tMovimientos[ID],B126))</f>
        <v/>
      </c>
      <c r="D126" s="14" t="str">
        <f>IF(B126="","",SUMIFS(tMovimientos[Importe],tMovimientos[ID],B126))</f>
        <v/>
      </c>
      <c r="E126" s="13"/>
      <c r="F126" s="13"/>
      <c r="G126" s="13"/>
      <c r="H126" s="13"/>
      <c r="I126" s="1"/>
      <c r="J126" s="1"/>
      <c r="K126" s="1"/>
      <c r="L126" s="1"/>
      <c r="M126" s="1"/>
      <c r="N126" s="1"/>
    </row>
    <row r="127" ht="27.75" customHeight="1">
      <c r="A127" s="1"/>
      <c r="B127" s="10"/>
      <c r="C127" s="47" t="str">
        <f>IF(B127="","",SUMIFS(tMovimientos[Fecha],tMovimientos[ID],B127))</f>
        <v/>
      </c>
      <c r="D127" s="14" t="str">
        <f>IF(B127="","",SUMIFS(tMovimientos[Importe],tMovimientos[ID],B127))</f>
        <v/>
      </c>
      <c r="E127" s="13"/>
      <c r="F127" s="13"/>
      <c r="G127" s="13"/>
      <c r="H127" s="13"/>
      <c r="I127" s="1"/>
      <c r="J127" s="1"/>
      <c r="K127" s="1"/>
      <c r="L127" s="1"/>
      <c r="M127" s="1"/>
      <c r="N127" s="1"/>
    </row>
    <row r="128" ht="27.75" customHeight="1">
      <c r="A128" s="1"/>
      <c r="B128" s="10"/>
      <c r="C128" s="47" t="str">
        <f>IF(B128="","",SUMIFS(tMovimientos[Fecha],tMovimientos[ID],B128))</f>
        <v/>
      </c>
      <c r="D128" s="14" t="str">
        <f>IF(B128="","",SUMIFS(tMovimientos[Importe],tMovimientos[ID],B128))</f>
        <v/>
      </c>
      <c r="E128" s="13"/>
      <c r="F128" s="13"/>
      <c r="G128" s="13"/>
      <c r="H128" s="13"/>
      <c r="I128" s="1"/>
      <c r="J128" s="1"/>
      <c r="K128" s="1"/>
      <c r="L128" s="1"/>
      <c r="M128" s="1"/>
      <c r="N128" s="1"/>
    </row>
    <row r="129" ht="24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ht="24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ht="24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ht="24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</sheetData>
  <mergeCells count="1">
    <mergeCell ref="B2:N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4252"/>
    <pageSetUpPr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11" width="13.0"/>
  </cols>
  <sheetData>
    <row r="1" ht="24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4.75" customHeight="1">
      <c r="A2" s="1"/>
      <c r="B2" s="2" t="s">
        <v>59</v>
      </c>
    </row>
    <row r="3" ht="24.75" customHeight="1">
      <c r="A3" s="1"/>
      <c r="B3" s="3"/>
      <c r="C3" s="3"/>
      <c r="D3" s="3"/>
      <c r="E3" s="3"/>
      <c r="F3" s="3"/>
      <c r="G3" s="3"/>
      <c r="H3" s="3"/>
      <c r="I3" s="3"/>
      <c r="J3" s="3"/>
      <c r="K3" s="3"/>
    </row>
    <row r="4" ht="24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4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24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ht="37.5" customHeight="1">
      <c r="A8" s="1"/>
      <c r="B8" s="4" t="s">
        <v>2</v>
      </c>
      <c r="C8" s="4" t="s">
        <v>60</v>
      </c>
      <c r="D8" s="4" t="s">
        <v>61</v>
      </c>
      <c r="E8" s="4" t="s">
        <v>4</v>
      </c>
      <c r="F8" s="4" t="s">
        <v>62</v>
      </c>
      <c r="G8" s="4" t="s">
        <v>63</v>
      </c>
      <c r="H8" s="4" t="s">
        <v>64</v>
      </c>
      <c r="I8" s="1"/>
      <c r="J8" s="1"/>
      <c r="K8" s="1"/>
    </row>
    <row r="9" ht="27.75" customHeight="1">
      <c r="A9" s="1"/>
      <c r="B9" s="5"/>
      <c r="C9" s="5"/>
      <c r="D9" s="6"/>
      <c r="E9" s="7"/>
      <c r="F9" s="9" t="str">
        <f>IF(B9="","",SUMIFS(tAsignaciones[Importe],tAsignaciones[Objetivo],B9))</f>
        <v/>
      </c>
      <c r="G9" s="9" t="str">
        <f t="shared" ref="G9:G113" si="1">IF(B9="","",MAX(0,D9-F9))</f>
        <v/>
      </c>
      <c r="H9" s="42" t="str">
        <f t="shared" ref="H9:H113" si="2">IF(OR(B9="",D9=0),"",F9/D9)</f>
        <v/>
      </c>
      <c r="I9" s="1"/>
      <c r="J9" s="1"/>
      <c r="K9" s="1"/>
    </row>
    <row r="10" ht="27.75" customHeight="1">
      <c r="A10" s="1"/>
      <c r="B10" s="10"/>
      <c r="C10" s="10"/>
      <c r="D10" s="13"/>
      <c r="E10" s="11"/>
      <c r="F10" s="14" t="str">
        <f>IF(B10="","",SUMIFS(tAsignaciones[Importe],tAsignaciones[Objetivo],B10))</f>
        <v/>
      </c>
      <c r="G10" s="14" t="str">
        <f t="shared" si="1"/>
        <v/>
      </c>
      <c r="H10" s="45" t="str">
        <f t="shared" si="2"/>
        <v/>
      </c>
      <c r="I10" s="1"/>
      <c r="J10" s="1"/>
      <c r="K10" s="1"/>
    </row>
    <row r="11" ht="27.75" customHeight="1">
      <c r="A11" s="1"/>
      <c r="B11" s="5"/>
      <c r="C11" s="5"/>
      <c r="D11" s="6"/>
      <c r="E11" s="7"/>
      <c r="F11" s="9" t="str">
        <f>IF(B11="","",SUMIFS(tAsignaciones[Importe],tAsignaciones[Objetivo],B11))</f>
        <v/>
      </c>
      <c r="G11" s="9" t="str">
        <f t="shared" si="1"/>
        <v/>
      </c>
      <c r="H11" s="42" t="str">
        <f t="shared" si="2"/>
        <v/>
      </c>
      <c r="I11" s="1"/>
      <c r="J11" s="1"/>
      <c r="K11" s="1"/>
    </row>
    <row r="12" ht="27.75" customHeight="1">
      <c r="A12" s="1"/>
      <c r="B12" s="10"/>
      <c r="C12" s="10"/>
      <c r="D12" s="13"/>
      <c r="E12" s="11"/>
      <c r="F12" s="14" t="str">
        <f>IF(B12="","",SUMIFS(tAsignaciones[Importe],tAsignaciones[Objetivo],B12))</f>
        <v/>
      </c>
      <c r="G12" s="14" t="str">
        <f t="shared" si="1"/>
        <v/>
      </c>
      <c r="H12" s="45" t="str">
        <f t="shared" si="2"/>
        <v/>
      </c>
      <c r="I12" s="1"/>
      <c r="J12" s="1"/>
      <c r="K12" s="1"/>
    </row>
    <row r="13" ht="27.75" customHeight="1">
      <c r="A13" s="1"/>
      <c r="B13" s="5"/>
      <c r="C13" s="5"/>
      <c r="D13" s="6"/>
      <c r="E13" s="7"/>
      <c r="F13" s="9" t="str">
        <f>IF(B13="","",SUMIFS(tAsignaciones[Importe],tAsignaciones[Objetivo],B13))</f>
        <v/>
      </c>
      <c r="G13" s="9" t="str">
        <f t="shared" si="1"/>
        <v/>
      </c>
      <c r="H13" s="42" t="str">
        <f t="shared" si="2"/>
        <v/>
      </c>
      <c r="I13" s="1"/>
      <c r="J13" s="1"/>
      <c r="K13" s="1"/>
    </row>
    <row r="14" ht="27.75" customHeight="1">
      <c r="A14" s="1"/>
      <c r="B14" s="5"/>
      <c r="C14" s="5"/>
      <c r="D14" s="6"/>
      <c r="E14" s="7"/>
      <c r="F14" s="9" t="str">
        <f>IF(B14="","",SUMIFS(tAsignaciones[Importe],tAsignaciones[Objetivo],B14))</f>
        <v/>
      </c>
      <c r="G14" s="9" t="str">
        <f t="shared" si="1"/>
        <v/>
      </c>
      <c r="H14" s="42" t="str">
        <f t="shared" si="2"/>
        <v/>
      </c>
      <c r="I14" s="1"/>
      <c r="J14" s="1"/>
      <c r="K14" s="1"/>
    </row>
    <row r="15" ht="27.75" customHeight="1">
      <c r="A15" s="1"/>
      <c r="B15" s="5"/>
      <c r="C15" s="5"/>
      <c r="D15" s="6"/>
      <c r="E15" s="7"/>
      <c r="F15" s="9" t="str">
        <f>IF(B15="","",SUMIFS(tAsignaciones[Importe],tAsignaciones[Objetivo],B15))</f>
        <v/>
      </c>
      <c r="G15" s="9" t="str">
        <f t="shared" si="1"/>
        <v/>
      </c>
      <c r="H15" s="42" t="str">
        <f t="shared" si="2"/>
        <v/>
      </c>
      <c r="I15" s="1"/>
      <c r="J15" s="1"/>
      <c r="K15" s="1"/>
    </row>
    <row r="16" ht="27.75" customHeight="1">
      <c r="A16" s="1"/>
      <c r="B16" s="5"/>
      <c r="C16" s="5"/>
      <c r="D16" s="6"/>
      <c r="E16" s="7"/>
      <c r="F16" s="9" t="str">
        <f>IF(B16="","",SUMIFS(tAsignaciones[Importe],tAsignaciones[Objetivo],B16))</f>
        <v/>
      </c>
      <c r="G16" s="9" t="str">
        <f t="shared" si="1"/>
        <v/>
      </c>
      <c r="H16" s="42" t="str">
        <f t="shared" si="2"/>
        <v/>
      </c>
      <c r="I16" s="1"/>
      <c r="J16" s="1"/>
      <c r="K16" s="1"/>
    </row>
    <row r="17" ht="27.75" customHeight="1">
      <c r="A17" s="1"/>
      <c r="B17" s="5"/>
      <c r="C17" s="5"/>
      <c r="D17" s="6"/>
      <c r="E17" s="7"/>
      <c r="F17" s="9" t="str">
        <f>IF(B17="","",SUMIFS(tAsignaciones[Importe],tAsignaciones[Objetivo],B17))</f>
        <v/>
      </c>
      <c r="G17" s="9" t="str">
        <f t="shared" si="1"/>
        <v/>
      </c>
      <c r="H17" s="42" t="str">
        <f t="shared" si="2"/>
        <v/>
      </c>
      <c r="I17" s="1"/>
      <c r="J17" s="1"/>
      <c r="K17" s="1"/>
    </row>
    <row r="18" ht="27.75" customHeight="1">
      <c r="A18" s="1"/>
      <c r="B18" s="5"/>
      <c r="C18" s="5"/>
      <c r="D18" s="6"/>
      <c r="E18" s="7"/>
      <c r="F18" s="9" t="str">
        <f>IF(B18="","",SUMIFS(tAsignaciones[Importe],tAsignaciones[Objetivo],B18))</f>
        <v/>
      </c>
      <c r="G18" s="9" t="str">
        <f t="shared" si="1"/>
        <v/>
      </c>
      <c r="H18" s="42" t="str">
        <f t="shared" si="2"/>
        <v/>
      </c>
      <c r="I18" s="1"/>
      <c r="J18" s="1"/>
      <c r="K18" s="1"/>
    </row>
    <row r="19" ht="27.75" customHeight="1">
      <c r="A19" s="1"/>
      <c r="B19" s="5"/>
      <c r="C19" s="5"/>
      <c r="D19" s="6"/>
      <c r="E19" s="7"/>
      <c r="F19" s="9" t="str">
        <f>IF(B19="","",SUMIFS(tAsignaciones[Importe],tAsignaciones[Objetivo],B19))</f>
        <v/>
      </c>
      <c r="G19" s="9" t="str">
        <f t="shared" si="1"/>
        <v/>
      </c>
      <c r="H19" s="42" t="str">
        <f t="shared" si="2"/>
        <v/>
      </c>
      <c r="I19" s="1"/>
      <c r="J19" s="1"/>
      <c r="K19" s="1"/>
    </row>
    <row r="20" ht="27.75" customHeight="1">
      <c r="A20" s="1"/>
      <c r="B20" s="5"/>
      <c r="C20" s="5"/>
      <c r="D20" s="6"/>
      <c r="E20" s="7"/>
      <c r="F20" s="9" t="str">
        <f>IF(B20="","",SUMIFS(tAsignaciones[Importe],tAsignaciones[Objetivo],B20))</f>
        <v/>
      </c>
      <c r="G20" s="9" t="str">
        <f t="shared" si="1"/>
        <v/>
      </c>
      <c r="H20" s="42" t="str">
        <f t="shared" si="2"/>
        <v/>
      </c>
      <c r="I20" s="1"/>
      <c r="J20" s="1"/>
      <c r="K20" s="1"/>
    </row>
    <row r="21" ht="27.75" customHeight="1">
      <c r="A21" s="1"/>
      <c r="B21" s="5"/>
      <c r="C21" s="5"/>
      <c r="D21" s="6"/>
      <c r="E21" s="7"/>
      <c r="F21" s="9" t="str">
        <f>IF(B21="","",SUMIFS(tAsignaciones[Importe],tAsignaciones[Objetivo],B21))</f>
        <v/>
      </c>
      <c r="G21" s="9" t="str">
        <f t="shared" si="1"/>
        <v/>
      </c>
      <c r="H21" s="42" t="str">
        <f t="shared" si="2"/>
        <v/>
      </c>
      <c r="I21" s="1"/>
      <c r="J21" s="1"/>
      <c r="K21" s="1"/>
    </row>
    <row r="22" ht="27.75" customHeight="1">
      <c r="A22" s="1"/>
      <c r="B22" s="5"/>
      <c r="C22" s="5"/>
      <c r="D22" s="6"/>
      <c r="E22" s="7"/>
      <c r="F22" s="9" t="str">
        <f>IF(B22="","",SUMIFS(tAsignaciones[Importe],tAsignaciones[Objetivo],B22))</f>
        <v/>
      </c>
      <c r="G22" s="9" t="str">
        <f t="shared" si="1"/>
        <v/>
      </c>
      <c r="H22" s="42" t="str">
        <f t="shared" si="2"/>
        <v/>
      </c>
      <c r="I22" s="1"/>
      <c r="J22" s="1"/>
      <c r="K22" s="1"/>
    </row>
    <row r="23" ht="27.75" customHeight="1">
      <c r="A23" s="1"/>
      <c r="B23" s="5"/>
      <c r="C23" s="5"/>
      <c r="D23" s="6"/>
      <c r="E23" s="7"/>
      <c r="F23" s="9" t="str">
        <f>IF(B23="","",SUMIFS(tAsignaciones[Importe],tAsignaciones[Objetivo],B23))</f>
        <v/>
      </c>
      <c r="G23" s="9" t="str">
        <f t="shared" si="1"/>
        <v/>
      </c>
      <c r="H23" s="42" t="str">
        <f t="shared" si="2"/>
        <v/>
      </c>
      <c r="I23" s="1"/>
      <c r="J23" s="1"/>
      <c r="K23" s="1"/>
    </row>
    <row r="24" ht="27.75" customHeight="1">
      <c r="A24" s="1"/>
      <c r="B24" s="5"/>
      <c r="C24" s="5"/>
      <c r="D24" s="6"/>
      <c r="E24" s="7"/>
      <c r="F24" s="9" t="str">
        <f>IF(B24="","",SUMIFS(tAsignaciones[Importe],tAsignaciones[Objetivo],B24))</f>
        <v/>
      </c>
      <c r="G24" s="9" t="str">
        <f t="shared" si="1"/>
        <v/>
      </c>
      <c r="H24" s="42" t="str">
        <f t="shared" si="2"/>
        <v/>
      </c>
      <c r="I24" s="1"/>
      <c r="J24" s="1"/>
      <c r="K24" s="1"/>
    </row>
    <row r="25" ht="27.75" customHeight="1">
      <c r="A25" s="1"/>
      <c r="B25" s="5"/>
      <c r="C25" s="5"/>
      <c r="D25" s="6"/>
      <c r="E25" s="7"/>
      <c r="F25" s="9" t="str">
        <f>IF(B25="","",SUMIFS(tAsignaciones[Importe],tAsignaciones[Objetivo],B25))</f>
        <v/>
      </c>
      <c r="G25" s="9" t="str">
        <f t="shared" si="1"/>
        <v/>
      </c>
      <c r="H25" s="42" t="str">
        <f t="shared" si="2"/>
        <v/>
      </c>
      <c r="I25" s="1"/>
      <c r="J25" s="1"/>
      <c r="K25" s="1"/>
    </row>
    <row r="26" ht="27.75" customHeight="1">
      <c r="A26" s="1"/>
      <c r="B26" s="5"/>
      <c r="C26" s="5"/>
      <c r="D26" s="6"/>
      <c r="E26" s="7"/>
      <c r="F26" s="9" t="str">
        <f>IF(B26="","",SUMIFS(tAsignaciones[Importe],tAsignaciones[Objetivo],B26))</f>
        <v/>
      </c>
      <c r="G26" s="9" t="str">
        <f t="shared" si="1"/>
        <v/>
      </c>
      <c r="H26" s="42" t="str">
        <f t="shared" si="2"/>
        <v/>
      </c>
      <c r="I26" s="1"/>
      <c r="J26" s="1"/>
      <c r="K26" s="1"/>
    </row>
    <row r="27" ht="27.75" customHeight="1">
      <c r="A27" s="1"/>
      <c r="B27" s="5"/>
      <c r="C27" s="5"/>
      <c r="D27" s="6"/>
      <c r="E27" s="7"/>
      <c r="F27" s="9" t="str">
        <f>IF(B27="","",SUMIFS(tAsignaciones[Importe],tAsignaciones[Objetivo],B27))</f>
        <v/>
      </c>
      <c r="G27" s="9" t="str">
        <f t="shared" si="1"/>
        <v/>
      </c>
      <c r="H27" s="42" t="str">
        <f t="shared" si="2"/>
        <v/>
      </c>
      <c r="I27" s="1"/>
      <c r="J27" s="1"/>
      <c r="K27" s="1"/>
    </row>
    <row r="28" ht="27.75" customHeight="1">
      <c r="A28" s="1"/>
      <c r="B28" s="5"/>
      <c r="C28" s="5"/>
      <c r="D28" s="6"/>
      <c r="E28" s="7"/>
      <c r="F28" s="9" t="str">
        <f>IF(B28="","",SUMIFS(tAsignaciones[Importe],tAsignaciones[Objetivo],B28))</f>
        <v/>
      </c>
      <c r="G28" s="9" t="str">
        <f t="shared" si="1"/>
        <v/>
      </c>
      <c r="H28" s="42" t="str">
        <f t="shared" si="2"/>
        <v/>
      </c>
      <c r="I28" s="1"/>
      <c r="J28" s="1"/>
      <c r="K28" s="1"/>
    </row>
    <row r="29" ht="27.75" customHeight="1">
      <c r="A29" s="1"/>
      <c r="B29" s="5"/>
      <c r="C29" s="5"/>
      <c r="D29" s="6"/>
      <c r="E29" s="7"/>
      <c r="F29" s="9" t="str">
        <f>IF(B29="","",SUMIFS(tAsignaciones[Importe],tAsignaciones[Objetivo],B29))</f>
        <v/>
      </c>
      <c r="G29" s="9" t="str">
        <f t="shared" si="1"/>
        <v/>
      </c>
      <c r="H29" s="42" t="str">
        <f t="shared" si="2"/>
        <v/>
      </c>
      <c r="I29" s="1"/>
      <c r="J29" s="1"/>
      <c r="K29" s="1"/>
    </row>
    <row r="30" ht="27.75" customHeight="1">
      <c r="A30" s="1"/>
      <c r="B30" s="5"/>
      <c r="C30" s="5"/>
      <c r="D30" s="6"/>
      <c r="E30" s="7"/>
      <c r="F30" s="9" t="str">
        <f>IF(B30="","",SUMIFS(tAsignaciones[Importe],tAsignaciones[Objetivo],B30))</f>
        <v/>
      </c>
      <c r="G30" s="9" t="str">
        <f t="shared" si="1"/>
        <v/>
      </c>
      <c r="H30" s="42" t="str">
        <f t="shared" si="2"/>
        <v/>
      </c>
      <c r="I30" s="1"/>
      <c r="J30" s="1"/>
      <c r="K30" s="1"/>
    </row>
    <row r="31" ht="27.75" customHeight="1">
      <c r="A31" s="1"/>
      <c r="B31" s="5"/>
      <c r="C31" s="5"/>
      <c r="D31" s="6"/>
      <c r="E31" s="7"/>
      <c r="F31" s="9" t="str">
        <f>IF(B31="","",SUMIFS(tAsignaciones[Importe],tAsignaciones[Objetivo],B31))</f>
        <v/>
      </c>
      <c r="G31" s="9" t="str">
        <f t="shared" si="1"/>
        <v/>
      </c>
      <c r="H31" s="42" t="str">
        <f t="shared" si="2"/>
        <v/>
      </c>
      <c r="I31" s="1"/>
      <c r="J31" s="1"/>
      <c r="K31" s="1"/>
    </row>
    <row r="32" ht="27.75" customHeight="1">
      <c r="A32" s="1"/>
      <c r="B32" s="5"/>
      <c r="C32" s="5"/>
      <c r="D32" s="6"/>
      <c r="E32" s="7"/>
      <c r="F32" s="9" t="str">
        <f>IF(B32="","",SUMIFS(tAsignaciones[Importe],tAsignaciones[Objetivo],B32))</f>
        <v/>
      </c>
      <c r="G32" s="9" t="str">
        <f t="shared" si="1"/>
        <v/>
      </c>
      <c r="H32" s="42" t="str">
        <f t="shared" si="2"/>
        <v/>
      </c>
      <c r="I32" s="1"/>
      <c r="J32" s="1"/>
      <c r="K32" s="1"/>
    </row>
    <row r="33" ht="27.75" customHeight="1">
      <c r="A33" s="1"/>
      <c r="B33" s="5"/>
      <c r="C33" s="5"/>
      <c r="D33" s="6"/>
      <c r="E33" s="7"/>
      <c r="F33" s="9" t="str">
        <f>IF(B33="","",SUMIFS(tAsignaciones[Importe],tAsignaciones[Objetivo],B33))</f>
        <v/>
      </c>
      <c r="G33" s="9" t="str">
        <f t="shared" si="1"/>
        <v/>
      </c>
      <c r="H33" s="42" t="str">
        <f t="shared" si="2"/>
        <v/>
      </c>
      <c r="I33" s="1"/>
      <c r="J33" s="1"/>
      <c r="K33" s="1"/>
    </row>
    <row r="34" ht="27.75" customHeight="1">
      <c r="A34" s="1"/>
      <c r="B34" s="5"/>
      <c r="C34" s="5"/>
      <c r="D34" s="6"/>
      <c r="E34" s="7"/>
      <c r="F34" s="9" t="str">
        <f>IF(B34="","",SUMIFS(tAsignaciones[Importe],tAsignaciones[Objetivo],B34))</f>
        <v/>
      </c>
      <c r="G34" s="9" t="str">
        <f t="shared" si="1"/>
        <v/>
      </c>
      <c r="H34" s="42" t="str">
        <f t="shared" si="2"/>
        <v/>
      </c>
      <c r="I34" s="1"/>
      <c r="J34" s="1"/>
      <c r="K34" s="1"/>
    </row>
    <row r="35" ht="27.75" customHeight="1">
      <c r="A35" s="1"/>
      <c r="B35" s="5"/>
      <c r="C35" s="5"/>
      <c r="D35" s="6"/>
      <c r="E35" s="7"/>
      <c r="F35" s="9" t="str">
        <f>IF(B35="","",SUMIFS(tAsignaciones[Importe],tAsignaciones[Objetivo],B35))</f>
        <v/>
      </c>
      <c r="G35" s="9" t="str">
        <f t="shared" si="1"/>
        <v/>
      </c>
      <c r="H35" s="42" t="str">
        <f t="shared" si="2"/>
        <v/>
      </c>
      <c r="I35" s="1"/>
      <c r="J35" s="1"/>
      <c r="K35" s="1"/>
    </row>
    <row r="36" ht="27.75" customHeight="1">
      <c r="A36" s="1"/>
      <c r="B36" s="5"/>
      <c r="C36" s="5"/>
      <c r="D36" s="6"/>
      <c r="E36" s="7"/>
      <c r="F36" s="9" t="str">
        <f>IF(B36="","",SUMIFS(tAsignaciones[Importe],tAsignaciones[Objetivo],B36))</f>
        <v/>
      </c>
      <c r="G36" s="9" t="str">
        <f t="shared" si="1"/>
        <v/>
      </c>
      <c r="H36" s="42" t="str">
        <f t="shared" si="2"/>
        <v/>
      </c>
      <c r="I36" s="1"/>
      <c r="J36" s="1"/>
      <c r="K36" s="1"/>
    </row>
    <row r="37" ht="27.75" customHeight="1">
      <c r="A37" s="1"/>
      <c r="B37" s="5"/>
      <c r="C37" s="5"/>
      <c r="D37" s="6"/>
      <c r="E37" s="7"/>
      <c r="F37" s="9" t="str">
        <f>IF(B37="","",SUMIFS(tAsignaciones[Importe],tAsignaciones[Objetivo],B37))</f>
        <v/>
      </c>
      <c r="G37" s="9" t="str">
        <f t="shared" si="1"/>
        <v/>
      </c>
      <c r="H37" s="42" t="str">
        <f t="shared" si="2"/>
        <v/>
      </c>
      <c r="I37" s="1"/>
      <c r="J37" s="1"/>
      <c r="K37" s="1"/>
    </row>
    <row r="38" ht="27.75" customHeight="1">
      <c r="A38" s="1"/>
      <c r="B38" s="5"/>
      <c r="C38" s="5"/>
      <c r="D38" s="6"/>
      <c r="E38" s="7"/>
      <c r="F38" s="9" t="str">
        <f>IF(B38="","",SUMIFS(tAsignaciones[Importe],tAsignaciones[Objetivo],B38))</f>
        <v/>
      </c>
      <c r="G38" s="9" t="str">
        <f t="shared" si="1"/>
        <v/>
      </c>
      <c r="H38" s="42" t="str">
        <f t="shared" si="2"/>
        <v/>
      </c>
      <c r="I38" s="1"/>
      <c r="J38" s="1"/>
      <c r="K38" s="1"/>
    </row>
    <row r="39" ht="27.75" customHeight="1">
      <c r="A39" s="1"/>
      <c r="B39" s="5"/>
      <c r="C39" s="5"/>
      <c r="D39" s="6"/>
      <c r="E39" s="7"/>
      <c r="F39" s="9" t="str">
        <f>IF(B39="","",SUMIFS(tAsignaciones[Importe],tAsignaciones[Objetivo],B39))</f>
        <v/>
      </c>
      <c r="G39" s="9" t="str">
        <f t="shared" si="1"/>
        <v/>
      </c>
      <c r="H39" s="42" t="str">
        <f t="shared" si="2"/>
        <v/>
      </c>
      <c r="I39" s="1"/>
      <c r="J39" s="1"/>
      <c r="K39" s="1"/>
    </row>
    <row r="40" ht="27.75" customHeight="1">
      <c r="A40" s="1"/>
      <c r="B40" s="5"/>
      <c r="C40" s="5"/>
      <c r="D40" s="6"/>
      <c r="E40" s="7"/>
      <c r="F40" s="9" t="str">
        <f>IF(B40="","",SUMIFS(tAsignaciones[Importe],tAsignaciones[Objetivo],B40))</f>
        <v/>
      </c>
      <c r="G40" s="9" t="str">
        <f t="shared" si="1"/>
        <v/>
      </c>
      <c r="H40" s="42" t="str">
        <f t="shared" si="2"/>
        <v/>
      </c>
      <c r="I40" s="1"/>
      <c r="J40" s="1"/>
      <c r="K40" s="1"/>
    </row>
    <row r="41" ht="27.75" customHeight="1">
      <c r="A41" s="1"/>
      <c r="B41" s="5"/>
      <c r="C41" s="5"/>
      <c r="D41" s="6"/>
      <c r="E41" s="7"/>
      <c r="F41" s="9" t="str">
        <f>IF(B41="","",SUMIFS(tAsignaciones[Importe],tAsignaciones[Objetivo],B41))</f>
        <v/>
      </c>
      <c r="G41" s="9" t="str">
        <f t="shared" si="1"/>
        <v/>
      </c>
      <c r="H41" s="42" t="str">
        <f t="shared" si="2"/>
        <v/>
      </c>
      <c r="I41" s="1"/>
      <c r="J41" s="1"/>
      <c r="K41" s="1"/>
    </row>
    <row r="42" ht="27.75" customHeight="1">
      <c r="A42" s="1"/>
      <c r="B42" s="5"/>
      <c r="C42" s="5"/>
      <c r="D42" s="6"/>
      <c r="E42" s="7"/>
      <c r="F42" s="9" t="str">
        <f>IF(B42="","",SUMIFS(tAsignaciones[Importe],tAsignaciones[Objetivo],B42))</f>
        <v/>
      </c>
      <c r="G42" s="9" t="str">
        <f t="shared" si="1"/>
        <v/>
      </c>
      <c r="H42" s="42" t="str">
        <f t="shared" si="2"/>
        <v/>
      </c>
      <c r="I42" s="1"/>
      <c r="J42" s="1"/>
      <c r="K42" s="1"/>
    </row>
    <row r="43" ht="27.75" customHeight="1">
      <c r="A43" s="1"/>
      <c r="B43" s="5"/>
      <c r="C43" s="5"/>
      <c r="D43" s="6"/>
      <c r="E43" s="7"/>
      <c r="F43" s="9" t="str">
        <f>IF(B43="","",SUMIFS(tAsignaciones[Importe],tAsignaciones[Objetivo],B43))</f>
        <v/>
      </c>
      <c r="G43" s="9" t="str">
        <f t="shared" si="1"/>
        <v/>
      </c>
      <c r="H43" s="42" t="str">
        <f t="shared" si="2"/>
        <v/>
      </c>
      <c r="I43" s="1"/>
      <c r="J43" s="1"/>
      <c r="K43" s="1"/>
    </row>
    <row r="44" ht="27.75" customHeight="1">
      <c r="A44" s="1"/>
      <c r="B44" s="5"/>
      <c r="C44" s="5"/>
      <c r="D44" s="6"/>
      <c r="E44" s="7"/>
      <c r="F44" s="9" t="str">
        <f>IF(B44="","",SUMIFS(tAsignaciones[Importe],tAsignaciones[Objetivo],B44))</f>
        <v/>
      </c>
      <c r="G44" s="9" t="str">
        <f t="shared" si="1"/>
        <v/>
      </c>
      <c r="H44" s="42" t="str">
        <f t="shared" si="2"/>
        <v/>
      </c>
      <c r="I44" s="1"/>
      <c r="J44" s="1"/>
      <c r="K44" s="1"/>
    </row>
    <row r="45" ht="27.75" customHeight="1">
      <c r="A45" s="1"/>
      <c r="B45" s="5"/>
      <c r="C45" s="5"/>
      <c r="D45" s="6"/>
      <c r="E45" s="7"/>
      <c r="F45" s="9" t="str">
        <f>IF(B45="","",SUMIFS(tAsignaciones[Importe],tAsignaciones[Objetivo],B45))</f>
        <v/>
      </c>
      <c r="G45" s="9" t="str">
        <f t="shared" si="1"/>
        <v/>
      </c>
      <c r="H45" s="42" t="str">
        <f t="shared" si="2"/>
        <v/>
      </c>
      <c r="I45" s="1"/>
      <c r="J45" s="1"/>
      <c r="K45" s="1"/>
    </row>
    <row r="46" ht="27.75" customHeight="1">
      <c r="A46" s="1"/>
      <c r="B46" s="5"/>
      <c r="C46" s="5"/>
      <c r="D46" s="6"/>
      <c r="E46" s="7"/>
      <c r="F46" s="9" t="str">
        <f>IF(B46="","",SUMIFS(tAsignaciones[Importe],tAsignaciones[Objetivo],B46))</f>
        <v/>
      </c>
      <c r="G46" s="9" t="str">
        <f t="shared" si="1"/>
        <v/>
      </c>
      <c r="H46" s="42" t="str">
        <f t="shared" si="2"/>
        <v/>
      </c>
      <c r="I46" s="1"/>
      <c r="J46" s="1"/>
      <c r="K46" s="1"/>
    </row>
    <row r="47" ht="27.75" customHeight="1">
      <c r="A47" s="1"/>
      <c r="B47" s="5"/>
      <c r="C47" s="5"/>
      <c r="D47" s="6"/>
      <c r="E47" s="7"/>
      <c r="F47" s="9" t="str">
        <f>IF(B47="","",SUMIFS(tAsignaciones[Importe],tAsignaciones[Objetivo],B47))</f>
        <v/>
      </c>
      <c r="G47" s="9" t="str">
        <f t="shared" si="1"/>
        <v/>
      </c>
      <c r="H47" s="42" t="str">
        <f t="shared" si="2"/>
        <v/>
      </c>
      <c r="I47" s="1"/>
      <c r="J47" s="1"/>
      <c r="K47" s="1"/>
    </row>
    <row r="48" ht="27.75" customHeight="1">
      <c r="A48" s="1"/>
      <c r="B48" s="5"/>
      <c r="C48" s="5"/>
      <c r="D48" s="6"/>
      <c r="E48" s="7"/>
      <c r="F48" s="9" t="str">
        <f>IF(B48="","",SUMIFS(tAsignaciones[Importe],tAsignaciones[Objetivo],B48))</f>
        <v/>
      </c>
      <c r="G48" s="9" t="str">
        <f t="shared" si="1"/>
        <v/>
      </c>
      <c r="H48" s="42" t="str">
        <f t="shared" si="2"/>
        <v/>
      </c>
      <c r="I48" s="1"/>
      <c r="J48" s="1"/>
      <c r="K48" s="1"/>
    </row>
    <row r="49" ht="27.75" customHeight="1">
      <c r="A49" s="1"/>
      <c r="B49" s="5"/>
      <c r="C49" s="5"/>
      <c r="D49" s="6"/>
      <c r="E49" s="7"/>
      <c r="F49" s="9" t="str">
        <f>IF(B49="","",SUMIFS(tAsignaciones[Importe],tAsignaciones[Objetivo],B49))</f>
        <v/>
      </c>
      <c r="G49" s="9" t="str">
        <f t="shared" si="1"/>
        <v/>
      </c>
      <c r="H49" s="42" t="str">
        <f t="shared" si="2"/>
        <v/>
      </c>
      <c r="I49" s="1"/>
      <c r="J49" s="1"/>
      <c r="K49" s="1"/>
    </row>
    <row r="50" ht="27.75" customHeight="1">
      <c r="A50" s="1"/>
      <c r="B50" s="5"/>
      <c r="C50" s="5"/>
      <c r="D50" s="6"/>
      <c r="E50" s="7"/>
      <c r="F50" s="9" t="str">
        <f>IF(B50="","",SUMIFS(tAsignaciones[Importe],tAsignaciones[Objetivo],B50))</f>
        <v/>
      </c>
      <c r="G50" s="9" t="str">
        <f t="shared" si="1"/>
        <v/>
      </c>
      <c r="H50" s="42" t="str">
        <f t="shared" si="2"/>
        <v/>
      </c>
      <c r="I50" s="1"/>
      <c r="J50" s="1"/>
      <c r="K50" s="1"/>
    </row>
    <row r="51" ht="27.75" customHeight="1">
      <c r="A51" s="1"/>
      <c r="B51" s="5"/>
      <c r="C51" s="5"/>
      <c r="D51" s="6"/>
      <c r="E51" s="7"/>
      <c r="F51" s="9" t="str">
        <f>IF(B51="","",SUMIFS(tAsignaciones[Importe],tAsignaciones[Objetivo],B51))</f>
        <v/>
      </c>
      <c r="G51" s="9" t="str">
        <f t="shared" si="1"/>
        <v/>
      </c>
      <c r="H51" s="42" t="str">
        <f t="shared" si="2"/>
        <v/>
      </c>
      <c r="I51" s="1"/>
      <c r="J51" s="1"/>
      <c r="K51" s="1"/>
    </row>
    <row r="52" ht="27.75" customHeight="1">
      <c r="A52" s="1"/>
      <c r="B52" s="5"/>
      <c r="C52" s="5"/>
      <c r="D52" s="6"/>
      <c r="E52" s="7"/>
      <c r="F52" s="9" t="str">
        <f>IF(B52="","",SUMIFS(tAsignaciones[Importe],tAsignaciones[Objetivo],B52))</f>
        <v/>
      </c>
      <c r="G52" s="9" t="str">
        <f t="shared" si="1"/>
        <v/>
      </c>
      <c r="H52" s="42" t="str">
        <f t="shared" si="2"/>
        <v/>
      </c>
      <c r="I52" s="1"/>
      <c r="J52" s="1"/>
      <c r="K52" s="1"/>
    </row>
    <row r="53" ht="27.75" customHeight="1">
      <c r="A53" s="1"/>
      <c r="B53" s="5"/>
      <c r="C53" s="5"/>
      <c r="D53" s="6"/>
      <c r="E53" s="7"/>
      <c r="F53" s="9" t="str">
        <f>IF(B53="","",SUMIFS(tAsignaciones[Importe],tAsignaciones[Objetivo],B53))</f>
        <v/>
      </c>
      <c r="G53" s="9" t="str">
        <f t="shared" si="1"/>
        <v/>
      </c>
      <c r="H53" s="42" t="str">
        <f t="shared" si="2"/>
        <v/>
      </c>
      <c r="I53" s="1"/>
      <c r="J53" s="1"/>
      <c r="K53" s="1"/>
    </row>
    <row r="54" ht="27.75" customHeight="1">
      <c r="A54" s="1"/>
      <c r="B54" s="5"/>
      <c r="C54" s="5"/>
      <c r="D54" s="6"/>
      <c r="E54" s="7"/>
      <c r="F54" s="9" t="str">
        <f>IF(B54="","",SUMIFS(tAsignaciones[Importe],tAsignaciones[Objetivo],B54))</f>
        <v/>
      </c>
      <c r="G54" s="9" t="str">
        <f t="shared" si="1"/>
        <v/>
      </c>
      <c r="H54" s="42" t="str">
        <f t="shared" si="2"/>
        <v/>
      </c>
      <c r="I54" s="1"/>
      <c r="J54" s="1"/>
      <c r="K54" s="1"/>
    </row>
    <row r="55" ht="27.75" customHeight="1">
      <c r="A55" s="1"/>
      <c r="B55" s="5"/>
      <c r="C55" s="5"/>
      <c r="D55" s="6"/>
      <c r="E55" s="7"/>
      <c r="F55" s="9" t="str">
        <f>IF(B55="","",SUMIFS(tAsignaciones[Importe],tAsignaciones[Objetivo],B55))</f>
        <v/>
      </c>
      <c r="G55" s="9" t="str">
        <f t="shared" si="1"/>
        <v/>
      </c>
      <c r="H55" s="42" t="str">
        <f t="shared" si="2"/>
        <v/>
      </c>
      <c r="I55" s="1"/>
      <c r="J55" s="1"/>
      <c r="K55" s="1"/>
    </row>
    <row r="56" ht="27.75" customHeight="1">
      <c r="A56" s="1"/>
      <c r="B56" s="5"/>
      <c r="C56" s="5"/>
      <c r="D56" s="6"/>
      <c r="E56" s="7"/>
      <c r="F56" s="9" t="str">
        <f>IF(B56="","",SUMIFS(tAsignaciones[Importe],tAsignaciones[Objetivo],B56))</f>
        <v/>
      </c>
      <c r="G56" s="9" t="str">
        <f t="shared" si="1"/>
        <v/>
      </c>
      <c r="H56" s="42" t="str">
        <f t="shared" si="2"/>
        <v/>
      </c>
      <c r="I56" s="1"/>
      <c r="J56" s="1"/>
      <c r="K56" s="1"/>
    </row>
    <row r="57" ht="27.75" customHeight="1">
      <c r="A57" s="1"/>
      <c r="B57" s="5"/>
      <c r="C57" s="5"/>
      <c r="D57" s="6"/>
      <c r="E57" s="7"/>
      <c r="F57" s="9" t="str">
        <f>IF(B57="","",SUMIFS(tAsignaciones[Importe],tAsignaciones[Objetivo],B57))</f>
        <v/>
      </c>
      <c r="G57" s="9" t="str">
        <f t="shared" si="1"/>
        <v/>
      </c>
      <c r="H57" s="42" t="str">
        <f t="shared" si="2"/>
        <v/>
      </c>
      <c r="I57" s="1"/>
      <c r="J57" s="1"/>
      <c r="K57" s="1"/>
    </row>
    <row r="58" ht="27.75" customHeight="1">
      <c r="A58" s="1"/>
      <c r="B58" s="5"/>
      <c r="C58" s="5"/>
      <c r="D58" s="6"/>
      <c r="E58" s="7"/>
      <c r="F58" s="9" t="str">
        <f>IF(B58="","",SUMIFS(tAsignaciones[Importe],tAsignaciones[Objetivo],B58))</f>
        <v/>
      </c>
      <c r="G58" s="9" t="str">
        <f t="shared" si="1"/>
        <v/>
      </c>
      <c r="H58" s="42" t="str">
        <f t="shared" si="2"/>
        <v/>
      </c>
      <c r="I58" s="1"/>
      <c r="J58" s="1"/>
      <c r="K58" s="1"/>
    </row>
    <row r="59" ht="27.75" customHeight="1">
      <c r="A59" s="1"/>
      <c r="B59" s="5"/>
      <c r="C59" s="5"/>
      <c r="D59" s="6"/>
      <c r="E59" s="7"/>
      <c r="F59" s="9" t="str">
        <f>IF(B59="","",SUMIFS(tAsignaciones[Importe],tAsignaciones[Objetivo],B59))</f>
        <v/>
      </c>
      <c r="G59" s="9" t="str">
        <f t="shared" si="1"/>
        <v/>
      </c>
      <c r="H59" s="42" t="str">
        <f t="shared" si="2"/>
        <v/>
      </c>
      <c r="I59" s="1"/>
      <c r="J59" s="1"/>
      <c r="K59" s="1"/>
    </row>
    <row r="60" ht="27.75" customHeight="1">
      <c r="A60" s="1"/>
      <c r="B60" s="5"/>
      <c r="C60" s="5"/>
      <c r="D60" s="6"/>
      <c r="E60" s="7"/>
      <c r="F60" s="9" t="str">
        <f>IF(B60="","",SUMIFS(tAsignaciones[Importe],tAsignaciones[Objetivo],B60))</f>
        <v/>
      </c>
      <c r="G60" s="9" t="str">
        <f t="shared" si="1"/>
        <v/>
      </c>
      <c r="H60" s="42" t="str">
        <f t="shared" si="2"/>
        <v/>
      </c>
      <c r="I60" s="1"/>
      <c r="J60" s="1"/>
      <c r="K60" s="1"/>
    </row>
    <row r="61" ht="27.75" customHeight="1">
      <c r="A61" s="1"/>
      <c r="B61" s="5"/>
      <c r="C61" s="5"/>
      <c r="D61" s="6"/>
      <c r="E61" s="7"/>
      <c r="F61" s="9" t="str">
        <f>IF(B61="","",SUMIFS(tAsignaciones[Importe],tAsignaciones[Objetivo],B61))</f>
        <v/>
      </c>
      <c r="G61" s="9" t="str">
        <f t="shared" si="1"/>
        <v/>
      </c>
      <c r="H61" s="42" t="str">
        <f t="shared" si="2"/>
        <v/>
      </c>
      <c r="I61" s="1"/>
      <c r="J61" s="1"/>
      <c r="K61" s="1"/>
    </row>
    <row r="62" ht="27.75" customHeight="1">
      <c r="A62" s="1"/>
      <c r="B62" s="5"/>
      <c r="C62" s="5"/>
      <c r="D62" s="6"/>
      <c r="E62" s="7"/>
      <c r="F62" s="9" t="str">
        <f>IF(B62="","",SUMIFS(tAsignaciones[Importe],tAsignaciones[Objetivo],B62))</f>
        <v/>
      </c>
      <c r="G62" s="9" t="str">
        <f t="shared" si="1"/>
        <v/>
      </c>
      <c r="H62" s="42" t="str">
        <f t="shared" si="2"/>
        <v/>
      </c>
      <c r="I62" s="1"/>
      <c r="J62" s="1"/>
      <c r="K62" s="1"/>
    </row>
    <row r="63" ht="27.75" customHeight="1">
      <c r="A63" s="1"/>
      <c r="B63" s="5"/>
      <c r="C63" s="5"/>
      <c r="D63" s="6"/>
      <c r="E63" s="7"/>
      <c r="F63" s="9" t="str">
        <f>IF(B63="","",SUMIFS(tAsignaciones[Importe],tAsignaciones[Objetivo],B63))</f>
        <v/>
      </c>
      <c r="G63" s="9" t="str">
        <f t="shared" si="1"/>
        <v/>
      </c>
      <c r="H63" s="42" t="str">
        <f t="shared" si="2"/>
        <v/>
      </c>
      <c r="I63" s="1"/>
      <c r="J63" s="1"/>
      <c r="K63" s="1"/>
    </row>
    <row r="64" ht="27.75" customHeight="1">
      <c r="A64" s="1"/>
      <c r="B64" s="5"/>
      <c r="C64" s="5"/>
      <c r="D64" s="6"/>
      <c r="E64" s="7"/>
      <c r="F64" s="9" t="str">
        <f>IF(B64="","",SUMIFS(tAsignaciones[Importe],tAsignaciones[Objetivo],B64))</f>
        <v/>
      </c>
      <c r="G64" s="9" t="str">
        <f t="shared" si="1"/>
        <v/>
      </c>
      <c r="H64" s="42" t="str">
        <f t="shared" si="2"/>
        <v/>
      </c>
      <c r="I64" s="1"/>
      <c r="J64" s="1"/>
      <c r="K64" s="1"/>
    </row>
    <row r="65" ht="27.75" customHeight="1">
      <c r="A65" s="1"/>
      <c r="B65" s="5"/>
      <c r="C65" s="5"/>
      <c r="D65" s="6"/>
      <c r="E65" s="7"/>
      <c r="F65" s="9" t="str">
        <f>IF(B65="","",SUMIFS(tAsignaciones[Importe],tAsignaciones[Objetivo],B65))</f>
        <v/>
      </c>
      <c r="G65" s="9" t="str">
        <f t="shared" si="1"/>
        <v/>
      </c>
      <c r="H65" s="42" t="str">
        <f t="shared" si="2"/>
        <v/>
      </c>
      <c r="I65" s="1"/>
      <c r="J65" s="1"/>
      <c r="K65" s="1"/>
    </row>
    <row r="66" ht="27.75" customHeight="1">
      <c r="A66" s="1"/>
      <c r="B66" s="5"/>
      <c r="C66" s="5"/>
      <c r="D66" s="6"/>
      <c r="E66" s="7"/>
      <c r="F66" s="9" t="str">
        <f>IF(B66="","",SUMIFS(tAsignaciones[Importe],tAsignaciones[Objetivo],B66))</f>
        <v/>
      </c>
      <c r="G66" s="9" t="str">
        <f t="shared" si="1"/>
        <v/>
      </c>
      <c r="H66" s="42" t="str">
        <f t="shared" si="2"/>
        <v/>
      </c>
      <c r="I66" s="1"/>
      <c r="J66" s="1"/>
      <c r="K66" s="1"/>
    </row>
    <row r="67" ht="27.75" customHeight="1">
      <c r="A67" s="1"/>
      <c r="B67" s="5"/>
      <c r="C67" s="5"/>
      <c r="D67" s="6"/>
      <c r="E67" s="7"/>
      <c r="F67" s="9" t="str">
        <f>IF(B67="","",SUMIFS(tAsignaciones[Importe],tAsignaciones[Objetivo],B67))</f>
        <v/>
      </c>
      <c r="G67" s="9" t="str">
        <f t="shared" si="1"/>
        <v/>
      </c>
      <c r="H67" s="42" t="str">
        <f t="shared" si="2"/>
        <v/>
      </c>
      <c r="I67" s="1"/>
      <c r="J67" s="1"/>
      <c r="K67" s="1"/>
    </row>
    <row r="68" ht="27.75" customHeight="1">
      <c r="A68" s="1"/>
      <c r="B68" s="5"/>
      <c r="C68" s="5"/>
      <c r="D68" s="6"/>
      <c r="E68" s="7"/>
      <c r="F68" s="9" t="str">
        <f>IF(B68="","",SUMIFS(tAsignaciones[Importe],tAsignaciones[Objetivo],B68))</f>
        <v/>
      </c>
      <c r="G68" s="9" t="str">
        <f t="shared" si="1"/>
        <v/>
      </c>
      <c r="H68" s="42" t="str">
        <f t="shared" si="2"/>
        <v/>
      </c>
      <c r="I68" s="1"/>
      <c r="J68" s="1"/>
      <c r="K68" s="1"/>
    </row>
    <row r="69" ht="27.75" customHeight="1">
      <c r="A69" s="1"/>
      <c r="B69" s="5"/>
      <c r="C69" s="5"/>
      <c r="D69" s="6"/>
      <c r="E69" s="7"/>
      <c r="F69" s="9" t="str">
        <f>IF(B69="","",SUMIFS(tAsignaciones[Importe],tAsignaciones[Objetivo],B69))</f>
        <v/>
      </c>
      <c r="G69" s="9" t="str">
        <f t="shared" si="1"/>
        <v/>
      </c>
      <c r="H69" s="42" t="str">
        <f t="shared" si="2"/>
        <v/>
      </c>
      <c r="I69" s="1"/>
      <c r="J69" s="1"/>
      <c r="K69" s="1"/>
    </row>
    <row r="70" ht="27.75" customHeight="1">
      <c r="A70" s="1"/>
      <c r="B70" s="5"/>
      <c r="C70" s="5"/>
      <c r="D70" s="6"/>
      <c r="E70" s="7"/>
      <c r="F70" s="9" t="str">
        <f>IF(B70="","",SUMIFS(tAsignaciones[Importe],tAsignaciones[Objetivo],B70))</f>
        <v/>
      </c>
      <c r="G70" s="9" t="str">
        <f t="shared" si="1"/>
        <v/>
      </c>
      <c r="H70" s="42" t="str">
        <f t="shared" si="2"/>
        <v/>
      </c>
      <c r="I70" s="1"/>
      <c r="J70" s="1"/>
      <c r="K70" s="1"/>
    </row>
    <row r="71" ht="27.75" customHeight="1">
      <c r="A71" s="1"/>
      <c r="B71" s="5"/>
      <c r="C71" s="5"/>
      <c r="D71" s="6"/>
      <c r="E71" s="7"/>
      <c r="F71" s="9" t="str">
        <f>IF(B71="","",SUMIFS(tAsignaciones[Importe],tAsignaciones[Objetivo],B71))</f>
        <v/>
      </c>
      <c r="G71" s="9" t="str">
        <f t="shared" si="1"/>
        <v/>
      </c>
      <c r="H71" s="42" t="str">
        <f t="shared" si="2"/>
        <v/>
      </c>
      <c r="I71" s="1"/>
      <c r="J71" s="1"/>
      <c r="K71" s="1"/>
    </row>
    <row r="72" ht="27.75" customHeight="1">
      <c r="A72" s="1"/>
      <c r="B72" s="5"/>
      <c r="C72" s="5"/>
      <c r="D72" s="6"/>
      <c r="E72" s="7"/>
      <c r="F72" s="9" t="str">
        <f>IF(B72="","",SUMIFS(tAsignaciones[Importe],tAsignaciones[Objetivo],B72))</f>
        <v/>
      </c>
      <c r="G72" s="9" t="str">
        <f t="shared" si="1"/>
        <v/>
      </c>
      <c r="H72" s="42" t="str">
        <f t="shared" si="2"/>
        <v/>
      </c>
      <c r="I72" s="1"/>
      <c r="J72" s="1"/>
      <c r="K72" s="1"/>
    </row>
    <row r="73" ht="27.75" customHeight="1">
      <c r="A73" s="1"/>
      <c r="B73" s="5"/>
      <c r="C73" s="5"/>
      <c r="D73" s="6"/>
      <c r="E73" s="7"/>
      <c r="F73" s="9" t="str">
        <f>IF(B73="","",SUMIFS(tAsignaciones[Importe],tAsignaciones[Objetivo],B73))</f>
        <v/>
      </c>
      <c r="G73" s="9" t="str">
        <f t="shared" si="1"/>
        <v/>
      </c>
      <c r="H73" s="42" t="str">
        <f t="shared" si="2"/>
        <v/>
      </c>
      <c r="I73" s="1"/>
      <c r="J73" s="1"/>
      <c r="K73" s="1"/>
    </row>
    <row r="74" ht="27.75" customHeight="1">
      <c r="A74" s="1"/>
      <c r="B74" s="5"/>
      <c r="C74" s="5"/>
      <c r="D74" s="6"/>
      <c r="E74" s="7"/>
      <c r="F74" s="9" t="str">
        <f>IF(B74="","",SUMIFS(tAsignaciones[Importe],tAsignaciones[Objetivo],B74))</f>
        <v/>
      </c>
      <c r="G74" s="9" t="str">
        <f t="shared" si="1"/>
        <v/>
      </c>
      <c r="H74" s="42" t="str">
        <f t="shared" si="2"/>
        <v/>
      </c>
      <c r="I74" s="1"/>
      <c r="J74" s="1"/>
      <c r="K74" s="1"/>
    </row>
    <row r="75" ht="27.75" customHeight="1">
      <c r="A75" s="1"/>
      <c r="B75" s="5"/>
      <c r="C75" s="5"/>
      <c r="D75" s="6"/>
      <c r="E75" s="7"/>
      <c r="F75" s="9" t="str">
        <f>IF(B75="","",SUMIFS(tAsignaciones[Importe],tAsignaciones[Objetivo],B75))</f>
        <v/>
      </c>
      <c r="G75" s="9" t="str">
        <f t="shared" si="1"/>
        <v/>
      </c>
      <c r="H75" s="42" t="str">
        <f t="shared" si="2"/>
        <v/>
      </c>
      <c r="I75" s="1"/>
      <c r="J75" s="1"/>
      <c r="K75" s="1"/>
    </row>
    <row r="76" ht="27.75" customHeight="1">
      <c r="A76" s="1"/>
      <c r="B76" s="5"/>
      <c r="C76" s="5"/>
      <c r="D76" s="6"/>
      <c r="E76" s="7"/>
      <c r="F76" s="9" t="str">
        <f>IF(B76="","",SUMIFS(tAsignaciones[Importe],tAsignaciones[Objetivo],B76))</f>
        <v/>
      </c>
      <c r="G76" s="9" t="str">
        <f t="shared" si="1"/>
        <v/>
      </c>
      <c r="H76" s="42" t="str">
        <f t="shared" si="2"/>
        <v/>
      </c>
      <c r="I76" s="1"/>
      <c r="J76" s="1"/>
      <c r="K76" s="1"/>
    </row>
    <row r="77" ht="27.75" customHeight="1">
      <c r="A77" s="1"/>
      <c r="B77" s="5"/>
      <c r="C77" s="5"/>
      <c r="D77" s="6"/>
      <c r="E77" s="7"/>
      <c r="F77" s="9" t="str">
        <f>IF(B77="","",SUMIFS(tAsignaciones[Importe],tAsignaciones[Objetivo],B77))</f>
        <v/>
      </c>
      <c r="G77" s="9" t="str">
        <f t="shared" si="1"/>
        <v/>
      </c>
      <c r="H77" s="42" t="str">
        <f t="shared" si="2"/>
        <v/>
      </c>
      <c r="I77" s="1"/>
      <c r="J77" s="1"/>
      <c r="K77" s="1"/>
    </row>
    <row r="78" ht="27.75" customHeight="1">
      <c r="A78" s="1"/>
      <c r="B78" s="5"/>
      <c r="C78" s="5"/>
      <c r="D78" s="6"/>
      <c r="E78" s="7"/>
      <c r="F78" s="9" t="str">
        <f>IF(B78="","",SUMIFS(tAsignaciones[Importe],tAsignaciones[Objetivo],B78))</f>
        <v/>
      </c>
      <c r="G78" s="9" t="str">
        <f t="shared" si="1"/>
        <v/>
      </c>
      <c r="H78" s="42" t="str">
        <f t="shared" si="2"/>
        <v/>
      </c>
      <c r="I78" s="1"/>
      <c r="J78" s="1"/>
      <c r="K78" s="1"/>
    </row>
    <row r="79" ht="27.75" customHeight="1">
      <c r="A79" s="1"/>
      <c r="B79" s="5"/>
      <c r="C79" s="5"/>
      <c r="D79" s="6"/>
      <c r="E79" s="7"/>
      <c r="F79" s="9" t="str">
        <f>IF(B79="","",SUMIFS(tAsignaciones[Importe],tAsignaciones[Objetivo],B79))</f>
        <v/>
      </c>
      <c r="G79" s="9" t="str">
        <f t="shared" si="1"/>
        <v/>
      </c>
      <c r="H79" s="42" t="str">
        <f t="shared" si="2"/>
        <v/>
      </c>
      <c r="I79" s="1"/>
      <c r="J79" s="1"/>
      <c r="K79" s="1"/>
    </row>
    <row r="80" ht="27.75" customHeight="1">
      <c r="A80" s="1"/>
      <c r="B80" s="5"/>
      <c r="C80" s="5"/>
      <c r="D80" s="6"/>
      <c r="E80" s="7"/>
      <c r="F80" s="9" t="str">
        <f>IF(B80="","",SUMIFS(tAsignaciones[Importe],tAsignaciones[Objetivo],B80))</f>
        <v/>
      </c>
      <c r="G80" s="9" t="str">
        <f t="shared" si="1"/>
        <v/>
      </c>
      <c r="H80" s="42" t="str">
        <f t="shared" si="2"/>
        <v/>
      </c>
      <c r="I80" s="1"/>
      <c r="J80" s="1"/>
      <c r="K80" s="1"/>
    </row>
    <row r="81" ht="27.75" customHeight="1">
      <c r="A81" s="1"/>
      <c r="B81" s="5"/>
      <c r="C81" s="5"/>
      <c r="D81" s="6"/>
      <c r="E81" s="7"/>
      <c r="F81" s="9" t="str">
        <f>IF(B81="","",SUMIFS(tAsignaciones[Importe],tAsignaciones[Objetivo],B81))</f>
        <v/>
      </c>
      <c r="G81" s="9" t="str">
        <f t="shared" si="1"/>
        <v/>
      </c>
      <c r="H81" s="42" t="str">
        <f t="shared" si="2"/>
        <v/>
      </c>
      <c r="I81" s="1"/>
      <c r="J81" s="1"/>
      <c r="K81" s="1"/>
    </row>
    <row r="82" ht="27.75" customHeight="1">
      <c r="A82" s="1"/>
      <c r="B82" s="5"/>
      <c r="C82" s="5"/>
      <c r="D82" s="6"/>
      <c r="E82" s="7"/>
      <c r="F82" s="9" t="str">
        <f>IF(B82="","",SUMIFS(tAsignaciones[Importe],tAsignaciones[Objetivo],B82))</f>
        <v/>
      </c>
      <c r="G82" s="9" t="str">
        <f t="shared" si="1"/>
        <v/>
      </c>
      <c r="H82" s="42" t="str">
        <f t="shared" si="2"/>
        <v/>
      </c>
      <c r="I82" s="1"/>
      <c r="J82" s="1"/>
      <c r="K82" s="1"/>
    </row>
    <row r="83" ht="27.75" customHeight="1">
      <c r="A83" s="1"/>
      <c r="B83" s="5"/>
      <c r="C83" s="5"/>
      <c r="D83" s="6"/>
      <c r="E83" s="7"/>
      <c r="F83" s="9" t="str">
        <f>IF(B83="","",SUMIFS(tAsignaciones[Importe],tAsignaciones[Objetivo],B83))</f>
        <v/>
      </c>
      <c r="G83" s="9" t="str">
        <f t="shared" si="1"/>
        <v/>
      </c>
      <c r="H83" s="42" t="str">
        <f t="shared" si="2"/>
        <v/>
      </c>
      <c r="I83" s="1"/>
      <c r="J83" s="1"/>
      <c r="K83" s="1"/>
    </row>
    <row r="84" ht="27.75" customHeight="1">
      <c r="A84" s="1"/>
      <c r="B84" s="5"/>
      <c r="C84" s="5"/>
      <c r="D84" s="6"/>
      <c r="E84" s="7"/>
      <c r="F84" s="9" t="str">
        <f>IF(B84="","",SUMIFS(tAsignaciones[Importe],tAsignaciones[Objetivo],B84))</f>
        <v/>
      </c>
      <c r="G84" s="9" t="str">
        <f t="shared" si="1"/>
        <v/>
      </c>
      <c r="H84" s="42" t="str">
        <f t="shared" si="2"/>
        <v/>
      </c>
      <c r="I84" s="1"/>
      <c r="J84" s="1"/>
      <c r="K84" s="1"/>
    </row>
    <row r="85" ht="27.75" customHeight="1">
      <c r="A85" s="1"/>
      <c r="B85" s="5"/>
      <c r="C85" s="5"/>
      <c r="D85" s="6"/>
      <c r="E85" s="7"/>
      <c r="F85" s="9" t="str">
        <f>IF(B85="","",SUMIFS(tAsignaciones[Importe],tAsignaciones[Objetivo],B85))</f>
        <v/>
      </c>
      <c r="G85" s="9" t="str">
        <f t="shared" si="1"/>
        <v/>
      </c>
      <c r="H85" s="42" t="str">
        <f t="shared" si="2"/>
        <v/>
      </c>
      <c r="I85" s="1"/>
      <c r="J85" s="1"/>
      <c r="K85" s="1"/>
    </row>
    <row r="86" ht="27.75" customHeight="1">
      <c r="A86" s="1"/>
      <c r="B86" s="5"/>
      <c r="C86" s="5"/>
      <c r="D86" s="6"/>
      <c r="E86" s="7"/>
      <c r="F86" s="9" t="str">
        <f>IF(B86="","",SUMIFS(tAsignaciones[Importe],tAsignaciones[Objetivo],B86))</f>
        <v/>
      </c>
      <c r="G86" s="9" t="str">
        <f t="shared" si="1"/>
        <v/>
      </c>
      <c r="H86" s="42" t="str">
        <f t="shared" si="2"/>
        <v/>
      </c>
      <c r="I86" s="1"/>
      <c r="J86" s="1"/>
      <c r="K86" s="1"/>
    </row>
    <row r="87" ht="27.75" customHeight="1">
      <c r="A87" s="1"/>
      <c r="B87" s="5"/>
      <c r="C87" s="5"/>
      <c r="D87" s="6"/>
      <c r="E87" s="7"/>
      <c r="F87" s="9" t="str">
        <f>IF(B87="","",SUMIFS(tAsignaciones[Importe],tAsignaciones[Objetivo],B87))</f>
        <v/>
      </c>
      <c r="G87" s="9" t="str">
        <f t="shared" si="1"/>
        <v/>
      </c>
      <c r="H87" s="42" t="str">
        <f t="shared" si="2"/>
        <v/>
      </c>
      <c r="I87" s="1"/>
      <c r="J87" s="1"/>
      <c r="K87" s="1"/>
    </row>
    <row r="88" ht="27.75" customHeight="1">
      <c r="A88" s="1"/>
      <c r="B88" s="5"/>
      <c r="C88" s="5"/>
      <c r="D88" s="6"/>
      <c r="E88" s="7"/>
      <c r="F88" s="9" t="str">
        <f>IF(B88="","",SUMIFS(tAsignaciones[Importe],tAsignaciones[Objetivo],B88))</f>
        <v/>
      </c>
      <c r="G88" s="9" t="str">
        <f t="shared" si="1"/>
        <v/>
      </c>
      <c r="H88" s="42" t="str">
        <f t="shared" si="2"/>
        <v/>
      </c>
      <c r="I88" s="1"/>
      <c r="J88" s="1"/>
      <c r="K88" s="1"/>
    </row>
    <row r="89" ht="27.75" customHeight="1">
      <c r="A89" s="1"/>
      <c r="B89" s="5"/>
      <c r="C89" s="5"/>
      <c r="D89" s="6"/>
      <c r="E89" s="7"/>
      <c r="F89" s="9" t="str">
        <f>IF(B89="","",SUMIFS(tAsignaciones[Importe],tAsignaciones[Objetivo],B89))</f>
        <v/>
      </c>
      <c r="G89" s="9" t="str">
        <f t="shared" si="1"/>
        <v/>
      </c>
      <c r="H89" s="42" t="str">
        <f t="shared" si="2"/>
        <v/>
      </c>
      <c r="I89" s="1"/>
      <c r="J89" s="1"/>
      <c r="K89" s="1"/>
    </row>
    <row r="90" ht="27.75" customHeight="1">
      <c r="A90" s="1"/>
      <c r="B90" s="5"/>
      <c r="C90" s="5"/>
      <c r="D90" s="6"/>
      <c r="E90" s="7"/>
      <c r="F90" s="9" t="str">
        <f>IF(B90="","",SUMIFS(tAsignaciones[Importe],tAsignaciones[Objetivo],B90))</f>
        <v/>
      </c>
      <c r="G90" s="9" t="str">
        <f t="shared" si="1"/>
        <v/>
      </c>
      <c r="H90" s="42" t="str">
        <f t="shared" si="2"/>
        <v/>
      </c>
      <c r="I90" s="1"/>
      <c r="J90" s="1"/>
      <c r="K90" s="1"/>
    </row>
    <row r="91" ht="27.75" customHeight="1">
      <c r="A91" s="1"/>
      <c r="B91" s="5"/>
      <c r="C91" s="5"/>
      <c r="D91" s="6"/>
      <c r="E91" s="7"/>
      <c r="F91" s="9" t="str">
        <f>IF(B91="","",SUMIFS(tAsignaciones[Importe],tAsignaciones[Objetivo],B91))</f>
        <v/>
      </c>
      <c r="G91" s="9" t="str">
        <f t="shared" si="1"/>
        <v/>
      </c>
      <c r="H91" s="42" t="str">
        <f t="shared" si="2"/>
        <v/>
      </c>
      <c r="I91" s="1"/>
      <c r="J91" s="1"/>
      <c r="K91" s="1"/>
    </row>
    <row r="92" ht="27.75" customHeight="1">
      <c r="A92" s="1"/>
      <c r="B92" s="5"/>
      <c r="C92" s="5"/>
      <c r="D92" s="6"/>
      <c r="E92" s="7"/>
      <c r="F92" s="9" t="str">
        <f>IF(B92="","",SUMIFS(tAsignaciones[Importe],tAsignaciones[Objetivo],B92))</f>
        <v/>
      </c>
      <c r="G92" s="9" t="str">
        <f t="shared" si="1"/>
        <v/>
      </c>
      <c r="H92" s="42" t="str">
        <f t="shared" si="2"/>
        <v/>
      </c>
      <c r="I92" s="1"/>
      <c r="J92" s="1"/>
      <c r="K92" s="1"/>
    </row>
    <row r="93" ht="27.75" customHeight="1">
      <c r="A93" s="1"/>
      <c r="B93" s="5"/>
      <c r="C93" s="5"/>
      <c r="D93" s="6"/>
      <c r="E93" s="7"/>
      <c r="F93" s="9" t="str">
        <f>IF(B93="","",SUMIFS(tAsignaciones[Importe],tAsignaciones[Objetivo],B93))</f>
        <v/>
      </c>
      <c r="G93" s="9" t="str">
        <f t="shared" si="1"/>
        <v/>
      </c>
      <c r="H93" s="42" t="str">
        <f t="shared" si="2"/>
        <v/>
      </c>
      <c r="I93" s="1"/>
      <c r="J93" s="1"/>
      <c r="K93" s="1"/>
    </row>
    <row r="94" ht="27.75" customHeight="1">
      <c r="A94" s="1"/>
      <c r="B94" s="5"/>
      <c r="C94" s="5"/>
      <c r="D94" s="6"/>
      <c r="E94" s="7"/>
      <c r="F94" s="9" t="str">
        <f>IF(B94="","",SUMIFS(tAsignaciones[Importe],tAsignaciones[Objetivo],B94))</f>
        <v/>
      </c>
      <c r="G94" s="9" t="str">
        <f t="shared" si="1"/>
        <v/>
      </c>
      <c r="H94" s="42" t="str">
        <f t="shared" si="2"/>
        <v/>
      </c>
      <c r="I94" s="1"/>
      <c r="J94" s="1"/>
      <c r="K94" s="1"/>
    </row>
    <row r="95" ht="27.75" customHeight="1">
      <c r="A95" s="1"/>
      <c r="B95" s="5"/>
      <c r="C95" s="5"/>
      <c r="D95" s="6"/>
      <c r="E95" s="7"/>
      <c r="F95" s="9" t="str">
        <f>IF(B95="","",SUMIFS(tAsignaciones[Importe],tAsignaciones[Objetivo],B95))</f>
        <v/>
      </c>
      <c r="G95" s="9" t="str">
        <f t="shared" si="1"/>
        <v/>
      </c>
      <c r="H95" s="42" t="str">
        <f t="shared" si="2"/>
        <v/>
      </c>
      <c r="I95" s="1"/>
      <c r="J95" s="1"/>
      <c r="K95" s="1"/>
    </row>
    <row r="96" ht="27.75" customHeight="1">
      <c r="A96" s="1"/>
      <c r="B96" s="5"/>
      <c r="C96" s="5"/>
      <c r="D96" s="6"/>
      <c r="E96" s="7"/>
      <c r="F96" s="9" t="str">
        <f>IF(B96="","",SUMIFS(tAsignaciones[Importe],tAsignaciones[Objetivo],B96))</f>
        <v/>
      </c>
      <c r="G96" s="9" t="str">
        <f t="shared" si="1"/>
        <v/>
      </c>
      <c r="H96" s="42" t="str">
        <f t="shared" si="2"/>
        <v/>
      </c>
      <c r="I96" s="1"/>
      <c r="J96" s="1"/>
      <c r="K96" s="1"/>
    </row>
    <row r="97" ht="27.75" customHeight="1">
      <c r="A97" s="1"/>
      <c r="B97" s="5"/>
      <c r="C97" s="5"/>
      <c r="D97" s="6"/>
      <c r="E97" s="7"/>
      <c r="F97" s="9" t="str">
        <f>IF(B97="","",SUMIFS(tAsignaciones[Importe],tAsignaciones[Objetivo],B97))</f>
        <v/>
      </c>
      <c r="G97" s="9" t="str">
        <f t="shared" si="1"/>
        <v/>
      </c>
      <c r="H97" s="42" t="str">
        <f t="shared" si="2"/>
        <v/>
      </c>
      <c r="I97" s="1"/>
      <c r="J97" s="1"/>
      <c r="K97" s="1"/>
    </row>
    <row r="98" ht="27.75" customHeight="1">
      <c r="A98" s="1"/>
      <c r="B98" s="5"/>
      <c r="C98" s="5"/>
      <c r="D98" s="6"/>
      <c r="E98" s="7"/>
      <c r="F98" s="9" t="str">
        <f>IF(B98="","",SUMIFS(tAsignaciones[Importe],tAsignaciones[Objetivo],B98))</f>
        <v/>
      </c>
      <c r="G98" s="9" t="str">
        <f t="shared" si="1"/>
        <v/>
      </c>
      <c r="H98" s="42" t="str">
        <f t="shared" si="2"/>
        <v/>
      </c>
      <c r="I98" s="1"/>
      <c r="J98" s="1"/>
      <c r="K98" s="1"/>
    </row>
    <row r="99" ht="27.75" customHeight="1">
      <c r="A99" s="1"/>
      <c r="B99" s="5"/>
      <c r="C99" s="5"/>
      <c r="D99" s="6"/>
      <c r="E99" s="7"/>
      <c r="F99" s="9" t="str">
        <f>IF(B99="","",SUMIFS(tAsignaciones[Importe],tAsignaciones[Objetivo],B99))</f>
        <v/>
      </c>
      <c r="G99" s="9" t="str">
        <f t="shared" si="1"/>
        <v/>
      </c>
      <c r="H99" s="42" t="str">
        <f t="shared" si="2"/>
        <v/>
      </c>
      <c r="I99" s="1"/>
      <c r="J99" s="1"/>
      <c r="K99" s="1"/>
    </row>
    <row r="100" ht="27.75" customHeight="1">
      <c r="A100" s="1"/>
      <c r="B100" s="5"/>
      <c r="C100" s="5"/>
      <c r="D100" s="6"/>
      <c r="E100" s="7"/>
      <c r="F100" s="9" t="str">
        <f>IF(B100="","",SUMIFS(tAsignaciones[Importe],tAsignaciones[Objetivo],B100))</f>
        <v/>
      </c>
      <c r="G100" s="9" t="str">
        <f t="shared" si="1"/>
        <v/>
      </c>
      <c r="H100" s="42" t="str">
        <f t="shared" si="2"/>
        <v/>
      </c>
      <c r="I100" s="1"/>
      <c r="J100" s="1"/>
      <c r="K100" s="1"/>
    </row>
    <row r="101" ht="27.75" customHeight="1">
      <c r="A101" s="1"/>
      <c r="B101" s="5"/>
      <c r="C101" s="5"/>
      <c r="D101" s="6"/>
      <c r="E101" s="7"/>
      <c r="F101" s="9" t="str">
        <f>IF(B101="","",SUMIFS(tAsignaciones[Importe],tAsignaciones[Objetivo],B101))</f>
        <v/>
      </c>
      <c r="G101" s="9" t="str">
        <f t="shared" si="1"/>
        <v/>
      </c>
      <c r="H101" s="42" t="str">
        <f t="shared" si="2"/>
        <v/>
      </c>
      <c r="I101" s="1"/>
      <c r="J101" s="1"/>
      <c r="K101" s="1"/>
    </row>
    <row r="102" ht="27.75" customHeight="1">
      <c r="A102" s="1"/>
      <c r="B102" s="5"/>
      <c r="C102" s="5"/>
      <c r="D102" s="6"/>
      <c r="E102" s="7"/>
      <c r="F102" s="9" t="str">
        <f>IF(B102="","",SUMIFS(tAsignaciones[Importe],tAsignaciones[Objetivo],B102))</f>
        <v/>
      </c>
      <c r="G102" s="9" t="str">
        <f t="shared" si="1"/>
        <v/>
      </c>
      <c r="H102" s="42" t="str">
        <f t="shared" si="2"/>
        <v/>
      </c>
      <c r="I102" s="1"/>
      <c r="J102" s="1"/>
      <c r="K102" s="1"/>
    </row>
    <row r="103" ht="27.75" customHeight="1">
      <c r="A103" s="1"/>
      <c r="B103" s="5"/>
      <c r="C103" s="5"/>
      <c r="D103" s="6"/>
      <c r="E103" s="7"/>
      <c r="F103" s="9" t="str">
        <f>IF(B103="","",SUMIFS(tAsignaciones[Importe],tAsignaciones[Objetivo],B103))</f>
        <v/>
      </c>
      <c r="G103" s="9" t="str">
        <f t="shared" si="1"/>
        <v/>
      </c>
      <c r="H103" s="42" t="str">
        <f t="shared" si="2"/>
        <v/>
      </c>
      <c r="I103" s="1"/>
      <c r="J103" s="1"/>
      <c r="K103" s="1"/>
    </row>
    <row r="104" ht="27.75" customHeight="1">
      <c r="A104" s="1"/>
      <c r="B104" s="5"/>
      <c r="C104" s="5"/>
      <c r="D104" s="6"/>
      <c r="E104" s="7"/>
      <c r="F104" s="9" t="str">
        <f>IF(B104="","",SUMIFS(tAsignaciones[Importe],tAsignaciones[Objetivo],B104))</f>
        <v/>
      </c>
      <c r="G104" s="9" t="str">
        <f t="shared" si="1"/>
        <v/>
      </c>
      <c r="H104" s="42" t="str">
        <f t="shared" si="2"/>
        <v/>
      </c>
      <c r="I104" s="1"/>
      <c r="J104" s="1"/>
      <c r="K104" s="1"/>
    </row>
    <row r="105" ht="27.75" customHeight="1">
      <c r="A105" s="1"/>
      <c r="B105" s="5"/>
      <c r="C105" s="5"/>
      <c r="D105" s="6"/>
      <c r="E105" s="7"/>
      <c r="F105" s="9" t="str">
        <f>IF(B105="","",SUMIFS(tAsignaciones[Importe],tAsignaciones[Objetivo],B105))</f>
        <v/>
      </c>
      <c r="G105" s="9" t="str">
        <f t="shared" si="1"/>
        <v/>
      </c>
      <c r="H105" s="42" t="str">
        <f t="shared" si="2"/>
        <v/>
      </c>
      <c r="I105" s="1"/>
      <c r="J105" s="1"/>
      <c r="K105" s="1"/>
    </row>
    <row r="106" ht="27.75" customHeight="1">
      <c r="A106" s="1"/>
      <c r="B106" s="5"/>
      <c r="C106" s="5"/>
      <c r="D106" s="6"/>
      <c r="E106" s="7"/>
      <c r="F106" s="9" t="str">
        <f>IF(B106="","",SUMIFS(tAsignaciones[Importe],tAsignaciones[Objetivo],B106))</f>
        <v/>
      </c>
      <c r="G106" s="9" t="str">
        <f t="shared" si="1"/>
        <v/>
      </c>
      <c r="H106" s="42" t="str">
        <f t="shared" si="2"/>
        <v/>
      </c>
      <c r="I106" s="1"/>
      <c r="J106" s="1"/>
      <c r="K106" s="1"/>
    </row>
    <row r="107" ht="27.75" customHeight="1">
      <c r="A107" s="1"/>
      <c r="B107" s="5"/>
      <c r="C107" s="5"/>
      <c r="D107" s="6"/>
      <c r="E107" s="7"/>
      <c r="F107" s="9" t="str">
        <f>IF(B107="","",SUMIFS(tAsignaciones[Importe],tAsignaciones[Objetivo],B107))</f>
        <v/>
      </c>
      <c r="G107" s="9" t="str">
        <f t="shared" si="1"/>
        <v/>
      </c>
      <c r="H107" s="42" t="str">
        <f t="shared" si="2"/>
        <v/>
      </c>
      <c r="I107" s="1"/>
      <c r="J107" s="1"/>
      <c r="K107" s="1"/>
    </row>
    <row r="108" ht="27.75" customHeight="1">
      <c r="A108" s="1"/>
      <c r="B108" s="5"/>
      <c r="C108" s="5"/>
      <c r="D108" s="6"/>
      <c r="E108" s="7"/>
      <c r="F108" s="9" t="str">
        <f>IF(B108="","",SUMIFS(tAsignaciones[Importe],tAsignaciones[Objetivo],B108))</f>
        <v/>
      </c>
      <c r="G108" s="9" t="str">
        <f t="shared" si="1"/>
        <v/>
      </c>
      <c r="H108" s="42" t="str">
        <f t="shared" si="2"/>
        <v/>
      </c>
      <c r="I108" s="1"/>
      <c r="J108" s="1"/>
      <c r="K108" s="1"/>
    </row>
    <row r="109" ht="27.75" customHeight="1">
      <c r="A109" s="1"/>
      <c r="B109" s="5"/>
      <c r="C109" s="5"/>
      <c r="D109" s="6"/>
      <c r="E109" s="7"/>
      <c r="F109" s="9" t="str">
        <f>IF(B109="","",SUMIFS(tAsignaciones[Importe],tAsignaciones[Objetivo],B109))</f>
        <v/>
      </c>
      <c r="G109" s="9" t="str">
        <f t="shared" si="1"/>
        <v/>
      </c>
      <c r="H109" s="42" t="str">
        <f t="shared" si="2"/>
        <v/>
      </c>
      <c r="I109" s="1"/>
      <c r="J109" s="1"/>
      <c r="K109" s="1"/>
    </row>
    <row r="110" ht="27.75" customHeight="1">
      <c r="A110" s="1"/>
      <c r="B110" s="5"/>
      <c r="C110" s="5"/>
      <c r="D110" s="6"/>
      <c r="E110" s="7"/>
      <c r="F110" s="9" t="str">
        <f>IF(B110="","",SUMIFS(tAsignaciones[Importe],tAsignaciones[Objetivo],B110))</f>
        <v/>
      </c>
      <c r="G110" s="9" t="str">
        <f t="shared" si="1"/>
        <v/>
      </c>
      <c r="H110" s="42" t="str">
        <f t="shared" si="2"/>
        <v/>
      </c>
      <c r="I110" s="1"/>
      <c r="J110" s="1"/>
      <c r="K110" s="1"/>
    </row>
    <row r="111" ht="27.75" customHeight="1">
      <c r="A111" s="1"/>
      <c r="B111" s="5"/>
      <c r="C111" s="5"/>
      <c r="D111" s="6"/>
      <c r="E111" s="7"/>
      <c r="F111" s="9" t="str">
        <f>IF(B111="","",SUMIFS(tAsignaciones[Importe],tAsignaciones[Objetivo],B111))</f>
        <v/>
      </c>
      <c r="G111" s="9" t="str">
        <f t="shared" si="1"/>
        <v/>
      </c>
      <c r="H111" s="42" t="str">
        <f t="shared" si="2"/>
        <v/>
      </c>
      <c r="I111" s="1"/>
      <c r="J111" s="1"/>
      <c r="K111" s="1"/>
    </row>
    <row r="112" ht="27.75" customHeight="1">
      <c r="A112" s="1"/>
      <c r="B112" s="5"/>
      <c r="C112" s="5"/>
      <c r="D112" s="6"/>
      <c r="E112" s="7"/>
      <c r="F112" s="9" t="str">
        <f>IF(B112="","",SUMIFS(tAsignaciones[Importe],tAsignaciones[Objetivo],B112))</f>
        <v/>
      </c>
      <c r="G112" s="9" t="str">
        <f t="shared" si="1"/>
        <v/>
      </c>
      <c r="H112" s="42" t="str">
        <f t="shared" si="2"/>
        <v/>
      </c>
      <c r="I112" s="1"/>
      <c r="J112" s="1"/>
      <c r="K112" s="1"/>
    </row>
    <row r="113" ht="27.75" customHeight="1">
      <c r="A113" s="1"/>
      <c r="B113" s="5"/>
      <c r="C113" s="5"/>
      <c r="D113" s="6"/>
      <c r="E113" s="7"/>
      <c r="F113" s="9" t="str">
        <f>IF(B113="","",SUMIFS(tAsignaciones[Importe],tAsignaciones[Objetivo],B113))</f>
        <v/>
      </c>
      <c r="G113" s="9" t="str">
        <f t="shared" si="1"/>
        <v/>
      </c>
      <c r="H113" s="42" t="str">
        <f t="shared" si="2"/>
        <v/>
      </c>
      <c r="I113" s="1"/>
      <c r="J113" s="1"/>
      <c r="K113" s="1"/>
    </row>
    <row r="114" ht="24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24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24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30.0" customHeight="1">
      <c r="A117" s="1"/>
      <c r="B117" s="37" t="s">
        <v>77</v>
      </c>
      <c r="E117" s="1"/>
      <c r="F117" s="1"/>
      <c r="G117" s="1"/>
      <c r="H117" s="1"/>
      <c r="I117" s="1"/>
      <c r="J117" s="1"/>
      <c r="K117" s="1"/>
    </row>
    <row r="118" ht="24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37.5" customHeight="1">
      <c r="A119" s="1"/>
      <c r="B119" s="4" t="s">
        <v>60</v>
      </c>
      <c r="C119" s="4" t="s">
        <v>11</v>
      </c>
      <c r="D119" s="4" t="s">
        <v>14</v>
      </c>
      <c r="E119" s="1"/>
      <c r="F119" s="1"/>
      <c r="G119" s="1"/>
      <c r="H119" s="1"/>
      <c r="I119" s="1"/>
      <c r="J119" s="1"/>
      <c r="K119" s="1"/>
    </row>
    <row r="120" ht="27.75" customHeight="1">
      <c r="A120" s="1"/>
      <c r="B120" s="5"/>
      <c r="C120" s="5"/>
      <c r="D120" s="5"/>
      <c r="E120" s="1"/>
      <c r="F120" s="1"/>
      <c r="G120" s="1"/>
      <c r="H120" s="1"/>
      <c r="I120" s="1"/>
      <c r="J120" s="1"/>
      <c r="K120" s="1"/>
    </row>
    <row r="121" ht="27.75" customHeight="1">
      <c r="A121" s="1"/>
      <c r="B121" s="10"/>
      <c r="C121" s="10"/>
      <c r="D121" s="10"/>
      <c r="E121" s="1"/>
      <c r="F121" s="1"/>
      <c r="G121" s="1"/>
      <c r="H121" s="1"/>
      <c r="I121" s="1"/>
      <c r="J121" s="1"/>
      <c r="K121" s="1"/>
    </row>
    <row r="122" ht="27.75" customHeight="1">
      <c r="A122" s="1"/>
      <c r="B122" s="5"/>
      <c r="C122" s="5"/>
      <c r="D122" s="5"/>
      <c r="E122" s="1"/>
      <c r="F122" s="1"/>
      <c r="G122" s="1"/>
      <c r="H122" s="1"/>
      <c r="I122" s="1"/>
      <c r="J122" s="1"/>
      <c r="K122" s="1"/>
    </row>
    <row r="123" ht="27.75" customHeight="1">
      <c r="A123" s="1"/>
      <c r="B123" s="10"/>
      <c r="C123" s="10"/>
      <c r="D123" s="10"/>
      <c r="E123" s="1"/>
      <c r="F123" s="1"/>
      <c r="G123" s="1"/>
      <c r="H123" s="1"/>
      <c r="I123" s="1"/>
      <c r="J123" s="1"/>
      <c r="K123" s="1"/>
    </row>
    <row r="124" ht="27.75" customHeight="1">
      <c r="A124" s="1"/>
      <c r="B124" s="5"/>
      <c r="C124" s="5"/>
      <c r="D124" s="5"/>
      <c r="E124" s="1"/>
      <c r="F124" s="1"/>
      <c r="G124" s="1"/>
      <c r="H124" s="1"/>
      <c r="I124" s="1"/>
      <c r="J124" s="1"/>
      <c r="K124" s="1"/>
    </row>
    <row r="125" ht="27.75" customHeight="1">
      <c r="A125" s="1"/>
      <c r="B125" s="10"/>
      <c r="C125" s="10"/>
      <c r="D125" s="10"/>
      <c r="E125" s="1"/>
      <c r="F125" s="1"/>
      <c r="G125" s="1"/>
      <c r="H125" s="1"/>
      <c r="I125" s="1"/>
      <c r="J125" s="1"/>
      <c r="K125" s="1"/>
    </row>
    <row r="126" ht="27.75" customHeight="1">
      <c r="A126" s="1"/>
      <c r="B126" s="5"/>
      <c r="C126" s="5"/>
      <c r="D126" s="5"/>
      <c r="E126" s="1"/>
      <c r="F126" s="1"/>
      <c r="G126" s="1"/>
      <c r="H126" s="1"/>
      <c r="I126" s="1"/>
      <c r="J126" s="1"/>
      <c r="K126" s="1"/>
    </row>
    <row r="127" ht="27.75" customHeight="1">
      <c r="A127" s="1"/>
      <c r="B127" s="10"/>
      <c r="C127" s="10"/>
      <c r="D127" s="10"/>
      <c r="E127" s="1"/>
      <c r="F127" s="1"/>
      <c r="G127" s="1"/>
      <c r="H127" s="1"/>
      <c r="I127" s="1"/>
      <c r="J127" s="1"/>
      <c r="K127" s="1"/>
    </row>
    <row r="128" ht="27.75" customHeight="1">
      <c r="A128" s="1"/>
      <c r="B128" s="5"/>
      <c r="C128" s="5"/>
      <c r="D128" s="5"/>
      <c r="E128" s="1"/>
      <c r="F128" s="1"/>
      <c r="G128" s="1"/>
      <c r="H128" s="1"/>
      <c r="I128" s="1"/>
      <c r="J128" s="1"/>
      <c r="K128" s="1"/>
    </row>
    <row r="129" ht="27.75" customHeight="1">
      <c r="A129" s="1"/>
      <c r="B129" s="10"/>
      <c r="C129" s="10"/>
      <c r="D129" s="10"/>
      <c r="E129" s="1"/>
      <c r="F129" s="1"/>
      <c r="G129" s="1"/>
      <c r="H129" s="1"/>
      <c r="I129" s="1"/>
      <c r="J129" s="1"/>
      <c r="K129" s="1"/>
    </row>
    <row r="130" ht="27.75" customHeight="1">
      <c r="A130" s="1"/>
      <c r="B130" s="10"/>
      <c r="C130" s="10"/>
      <c r="D130" s="10"/>
      <c r="E130" s="1"/>
      <c r="F130" s="1"/>
      <c r="G130" s="1"/>
      <c r="H130" s="1"/>
      <c r="I130" s="1"/>
      <c r="J130" s="1"/>
      <c r="K130" s="1"/>
    </row>
    <row r="131" ht="27.75" customHeight="1">
      <c r="A131" s="1"/>
      <c r="B131" s="10"/>
      <c r="C131" s="10"/>
      <c r="D131" s="10"/>
      <c r="E131" s="1"/>
      <c r="F131" s="1"/>
      <c r="G131" s="1"/>
      <c r="H131" s="1"/>
      <c r="I131" s="1"/>
      <c r="J131" s="1"/>
      <c r="K131" s="1"/>
    </row>
    <row r="132" ht="27.75" customHeight="1">
      <c r="A132" s="1"/>
      <c r="B132" s="10"/>
      <c r="C132" s="10"/>
      <c r="D132" s="10"/>
      <c r="E132" s="1"/>
      <c r="F132" s="1"/>
      <c r="G132" s="1"/>
      <c r="H132" s="1"/>
      <c r="I132" s="1"/>
      <c r="J132" s="1"/>
      <c r="K132" s="1"/>
    </row>
    <row r="133" ht="27.75" customHeight="1">
      <c r="A133" s="1"/>
      <c r="B133" s="10"/>
      <c r="C133" s="10"/>
      <c r="D133" s="10"/>
      <c r="E133" s="1"/>
      <c r="F133" s="1"/>
      <c r="G133" s="1"/>
      <c r="H133" s="1"/>
      <c r="I133" s="1"/>
      <c r="J133" s="1"/>
      <c r="K133" s="1"/>
    </row>
    <row r="134" ht="27.75" customHeight="1">
      <c r="A134" s="1"/>
      <c r="B134" s="10"/>
      <c r="C134" s="10"/>
      <c r="D134" s="10"/>
      <c r="E134" s="1"/>
      <c r="F134" s="1"/>
      <c r="G134" s="1"/>
      <c r="H134" s="1"/>
      <c r="I134" s="1"/>
      <c r="J134" s="1"/>
      <c r="K134" s="1"/>
    </row>
    <row r="135" ht="27.75" customHeight="1">
      <c r="A135" s="1"/>
      <c r="B135" s="10"/>
      <c r="C135" s="10"/>
      <c r="D135" s="10"/>
      <c r="E135" s="1"/>
      <c r="F135" s="1"/>
      <c r="G135" s="1"/>
      <c r="H135" s="1"/>
      <c r="I135" s="1"/>
      <c r="J135" s="1"/>
      <c r="K135" s="1"/>
    </row>
    <row r="136" ht="27.75" customHeight="1">
      <c r="A136" s="1"/>
      <c r="B136" s="10"/>
      <c r="C136" s="10"/>
      <c r="D136" s="10"/>
      <c r="E136" s="1"/>
      <c r="F136" s="1"/>
      <c r="G136" s="1"/>
      <c r="H136" s="1"/>
      <c r="I136" s="1"/>
      <c r="J136" s="1"/>
      <c r="K136" s="1"/>
    </row>
    <row r="137" ht="27.75" customHeight="1">
      <c r="A137" s="1"/>
      <c r="B137" s="10"/>
      <c r="C137" s="10"/>
      <c r="D137" s="10"/>
      <c r="E137" s="1"/>
      <c r="F137" s="1"/>
      <c r="G137" s="1"/>
      <c r="H137" s="1"/>
      <c r="I137" s="1"/>
      <c r="J137" s="1"/>
      <c r="K137" s="1"/>
    </row>
    <row r="138" ht="27.75" customHeight="1">
      <c r="A138" s="1"/>
      <c r="B138" s="10"/>
      <c r="C138" s="10"/>
      <c r="D138" s="10"/>
      <c r="E138" s="1"/>
      <c r="F138" s="1"/>
      <c r="G138" s="1"/>
      <c r="H138" s="1"/>
      <c r="I138" s="1"/>
      <c r="J138" s="1"/>
      <c r="K138" s="1"/>
    </row>
    <row r="139" ht="27.75" customHeight="1">
      <c r="A139" s="1"/>
      <c r="B139" s="10"/>
      <c r="C139" s="10"/>
      <c r="D139" s="10"/>
      <c r="E139" s="1"/>
      <c r="F139" s="1"/>
      <c r="G139" s="1"/>
      <c r="H139" s="1"/>
      <c r="I139" s="1"/>
      <c r="J139" s="1"/>
      <c r="K139" s="1"/>
    </row>
    <row r="140" ht="27.75" customHeight="1">
      <c r="A140" s="1"/>
      <c r="B140" s="10"/>
      <c r="C140" s="10"/>
      <c r="D140" s="10"/>
      <c r="E140" s="1"/>
      <c r="F140" s="1"/>
      <c r="G140" s="1"/>
      <c r="H140" s="1"/>
      <c r="I140" s="1"/>
      <c r="J140" s="1"/>
      <c r="K140" s="1"/>
    </row>
    <row r="141" ht="27.75" customHeight="1">
      <c r="A141" s="1"/>
      <c r="B141" s="10"/>
      <c r="C141" s="10"/>
      <c r="D141" s="10"/>
      <c r="E141" s="1"/>
      <c r="F141" s="1"/>
      <c r="G141" s="1"/>
      <c r="H141" s="1"/>
      <c r="I141" s="1"/>
      <c r="J141" s="1"/>
      <c r="K141" s="1"/>
    </row>
    <row r="142" ht="27.75" customHeight="1">
      <c r="A142" s="1"/>
      <c r="B142" s="10"/>
      <c r="C142" s="10"/>
      <c r="D142" s="10"/>
      <c r="E142" s="1"/>
      <c r="F142" s="1"/>
      <c r="G142" s="1"/>
      <c r="H142" s="1"/>
      <c r="I142" s="1"/>
      <c r="J142" s="1"/>
      <c r="K142" s="1"/>
    </row>
    <row r="143" ht="27.75" customHeight="1">
      <c r="A143" s="1"/>
      <c r="B143" s="10"/>
      <c r="C143" s="10"/>
      <c r="D143" s="10"/>
      <c r="E143" s="1"/>
      <c r="F143" s="1"/>
      <c r="G143" s="1"/>
      <c r="H143" s="1"/>
      <c r="I143" s="1"/>
      <c r="J143" s="1"/>
      <c r="K143" s="1"/>
    </row>
    <row r="144" ht="27.75" customHeight="1">
      <c r="A144" s="1"/>
      <c r="B144" s="10"/>
      <c r="C144" s="10"/>
      <c r="D144" s="10"/>
      <c r="E144" s="1"/>
      <c r="F144" s="1"/>
      <c r="G144" s="1"/>
      <c r="H144" s="1"/>
      <c r="I144" s="1"/>
      <c r="J144" s="1"/>
      <c r="K144" s="1"/>
    </row>
    <row r="145" ht="27.75" customHeight="1">
      <c r="A145" s="1"/>
      <c r="B145" s="10"/>
      <c r="C145" s="10"/>
      <c r="D145" s="10"/>
      <c r="E145" s="1"/>
      <c r="F145" s="1"/>
      <c r="G145" s="1"/>
      <c r="H145" s="1"/>
      <c r="I145" s="1"/>
      <c r="J145" s="1"/>
      <c r="K145" s="1"/>
    </row>
    <row r="146" ht="27.75" customHeight="1">
      <c r="A146" s="1"/>
      <c r="B146" s="10"/>
      <c r="C146" s="10"/>
      <c r="D146" s="10"/>
      <c r="E146" s="1"/>
      <c r="F146" s="1"/>
      <c r="G146" s="1"/>
      <c r="H146" s="1"/>
      <c r="I146" s="1"/>
      <c r="J146" s="1"/>
      <c r="K146" s="1"/>
    </row>
    <row r="147" ht="27.75" customHeight="1">
      <c r="A147" s="1"/>
      <c r="B147" s="10"/>
      <c r="C147" s="10"/>
      <c r="D147" s="10"/>
      <c r="E147" s="1"/>
      <c r="F147" s="1"/>
      <c r="G147" s="1"/>
      <c r="H147" s="1"/>
      <c r="I147" s="1"/>
      <c r="J147" s="1"/>
      <c r="K147" s="1"/>
    </row>
    <row r="148" ht="27.75" customHeight="1">
      <c r="A148" s="1"/>
      <c r="B148" s="10"/>
      <c r="C148" s="10"/>
      <c r="D148" s="10"/>
      <c r="E148" s="1"/>
      <c r="F148" s="1"/>
      <c r="G148" s="1"/>
      <c r="H148" s="1"/>
      <c r="I148" s="1"/>
      <c r="J148" s="1"/>
      <c r="K148" s="1"/>
    </row>
    <row r="149" ht="27.75" customHeight="1">
      <c r="A149" s="1"/>
      <c r="B149" s="10"/>
      <c r="C149" s="10"/>
      <c r="D149" s="10"/>
      <c r="E149" s="1"/>
      <c r="F149" s="1"/>
      <c r="G149" s="1"/>
      <c r="H149" s="1"/>
      <c r="I149" s="1"/>
      <c r="J149" s="1"/>
      <c r="K149" s="1"/>
    </row>
    <row r="150" ht="27.75" customHeight="1">
      <c r="A150" s="1"/>
      <c r="B150" s="10"/>
      <c r="C150" s="10"/>
      <c r="D150" s="10"/>
      <c r="E150" s="1"/>
      <c r="F150" s="1"/>
      <c r="G150" s="1"/>
      <c r="H150" s="1"/>
      <c r="I150" s="1"/>
      <c r="J150" s="1"/>
      <c r="K150" s="1"/>
    </row>
    <row r="151" ht="27.75" customHeight="1">
      <c r="A151" s="1"/>
      <c r="B151" s="10"/>
      <c r="C151" s="10"/>
      <c r="D151" s="10"/>
      <c r="E151" s="1"/>
      <c r="F151" s="1"/>
      <c r="G151" s="1"/>
      <c r="H151" s="1"/>
      <c r="I151" s="1"/>
      <c r="J151" s="1"/>
      <c r="K151" s="1"/>
    </row>
    <row r="152" ht="27.75" customHeight="1">
      <c r="A152" s="1"/>
      <c r="B152" s="10"/>
      <c r="C152" s="10"/>
      <c r="D152" s="10"/>
      <c r="E152" s="1"/>
      <c r="F152" s="1"/>
      <c r="G152" s="1"/>
      <c r="H152" s="1"/>
      <c r="I152" s="1"/>
      <c r="J152" s="1"/>
      <c r="K152" s="1"/>
    </row>
    <row r="153" ht="27.75" customHeight="1">
      <c r="A153" s="1"/>
      <c r="B153" s="10"/>
      <c r="C153" s="10"/>
      <c r="D153" s="10"/>
      <c r="E153" s="1"/>
      <c r="F153" s="1"/>
      <c r="G153" s="1"/>
      <c r="H153" s="1"/>
      <c r="I153" s="1"/>
      <c r="J153" s="1"/>
      <c r="K153" s="1"/>
    </row>
    <row r="154" ht="27.75" customHeight="1">
      <c r="A154" s="1"/>
      <c r="B154" s="10"/>
      <c r="C154" s="10"/>
      <c r="D154" s="10"/>
      <c r="E154" s="1"/>
      <c r="F154" s="1"/>
      <c r="G154" s="1"/>
      <c r="H154" s="1"/>
      <c r="I154" s="1"/>
      <c r="J154" s="1"/>
      <c r="K154" s="1"/>
    </row>
    <row r="155" ht="27.75" customHeight="1">
      <c r="A155" s="1"/>
      <c r="B155" s="10"/>
      <c r="C155" s="10"/>
      <c r="D155" s="10"/>
      <c r="E155" s="1"/>
      <c r="F155" s="1"/>
      <c r="G155" s="1"/>
      <c r="H155" s="1"/>
      <c r="I155" s="1"/>
      <c r="J155" s="1"/>
      <c r="K155" s="1"/>
    </row>
    <row r="156" ht="27.75" customHeight="1">
      <c r="A156" s="1"/>
      <c r="B156" s="10"/>
      <c r="C156" s="10"/>
      <c r="D156" s="10"/>
      <c r="E156" s="1"/>
      <c r="F156" s="1"/>
      <c r="G156" s="1"/>
      <c r="H156" s="1"/>
      <c r="I156" s="1"/>
      <c r="J156" s="1"/>
      <c r="K156" s="1"/>
    </row>
    <row r="157" ht="27.75" customHeight="1">
      <c r="A157" s="1"/>
      <c r="B157" s="10"/>
      <c r="C157" s="10"/>
      <c r="D157" s="10"/>
      <c r="E157" s="1"/>
      <c r="F157" s="1"/>
      <c r="G157" s="1"/>
      <c r="H157" s="1"/>
      <c r="I157" s="1"/>
      <c r="J157" s="1"/>
      <c r="K157" s="1"/>
    </row>
    <row r="158" ht="27.75" customHeight="1">
      <c r="A158" s="1"/>
      <c r="B158" s="10"/>
      <c r="C158" s="10"/>
      <c r="D158" s="10"/>
      <c r="E158" s="1"/>
      <c r="F158" s="1"/>
      <c r="G158" s="1"/>
      <c r="H158" s="1"/>
      <c r="I158" s="1"/>
      <c r="J158" s="1"/>
      <c r="K158" s="1"/>
    </row>
    <row r="159" ht="27.75" customHeight="1">
      <c r="A159" s="1"/>
      <c r="B159" s="10"/>
      <c r="C159" s="10"/>
      <c r="D159" s="10"/>
      <c r="E159" s="1"/>
      <c r="F159" s="1"/>
      <c r="G159" s="1"/>
      <c r="H159" s="1"/>
      <c r="I159" s="1"/>
      <c r="J159" s="1"/>
      <c r="K159" s="1"/>
    </row>
    <row r="160" ht="27.75" customHeight="1">
      <c r="A160" s="1"/>
      <c r="B160" s="10"/>
      <c r="C160" s="10"/>
      <c r="D160" s="10"/>
      <c r="E160" s="1"/>
      <c r="F160" s="1"/>
      <c r="G160" s="1"/>
      <c r="H160" s="1"/>
      <c r="I160" s="1"/>
      <c r="J160" s="1"/>
      <c r="K160" s="1"/>
    </row>
    <row r="161" ht="27.75" customHeight="1">
      <c r="A161" s="1"/>
      <c r="B161" s="10"/>
      <c r="C161" s="10"/>
      <c r="D161" s="10"/>
      <c r="E161" s="1"/>
      <c r="F161" s="1"/>
      <c r="G161" s="1"/>
      <c r="H161" s="1"/>
      <c r="I161" s="1"/>
      <c r="J161" s="1"/>
      <c r="K161" s="1"/>
    </row>
    <row r="162" ht="27.75" customHeight="1">
      <c r="A162" s="1"/>
      <c r="B162" s="10"/>
      <c r="C162" s="10"/>
      <c r="D162" s="10"/>
      <c r="E162" s="1"/>
      <c r="F162" s="1"/>
      <c r="G162" s="1"/>
      <c r="H162" s="1"/>
      <c r="I162" s="1"/>
      <c r="J162" s="1"/>
      <c r="K162" s="1"/>
    </row>
    <row r="163" ht="27.75" customHeight="1">
      <c r="A163" s="1"/>
      <c r="B163" s="10"/>
      <c r="C163" s="10"/>
      <c r="D163" s="10"/>
      <c r="E163" s="1"/>
      <c r="F163" s="1"/>
      <c r="G163" s="1"/>
      <c r="H163" s="1"/>
      <c r="I163" s="1"/>
      <c r="J163" s="1"/>
      <c r="K163" s="1"/>
    </row>
    <row r="164" ht="27.75" customHeight="1">
      <c r="A164" s="1"/>
      <c r="B164" s="10"/>
      <c r="C164" s="10"/>
      <c r="D164" s="10"/>
      <c r="E164" s="1"/>
      <c r="F164" s="1"/>
      <c r="G164" s="1"/>
      <c r="H164" s="1"/>
      <c r="I164" s="1"/>
      <c r="J164" s="1"/>
      <c r="K164" s="1"/>
    </row>
    <row r="165" ht="27.75" customHeight="1">
      <c r="A165" s="1"/>
      <c r="B165" s="10"/>
      <c r="C165" s="10"/>
      <c r="D165" s="10"/>
      <c r="E165" s="1"/>
      <c r="F165" s="1"/>
      <c r="G165" s="1"/>
      <c r="H165" s="1"/>
      <c r="I165" s="1"/>
      <c r="J165" s="1"/>
      <c r="K165" s="1"/>
    </row>
    <row r="166" ht="27.75" customHeight="1">
      <c r="A166" s="1"/>
      <c r="B166" s="10"/>
      <c r="C166" s="10"/>
      <c r="D166" s="10"/>
      <c r="E166" s="1"/>
      <c r="F166" s="1"/>
      <c r="G166" s="1"/>
      <c r="H166" s="1"/>
      <c r="I166" s="1"/>
      <c r="J166" s="1"/>
      <c r="K166" s="1"/>
    </row>
    <row r="167" ht="27.75" customHeight="1">
      <c r="A167" s="1"/>
      <c r="B167" s="10"/>
      <c r="C167" s="10"/>
      <c r="D167" s="10"/>
      <c r="E167" s="1"/>
      <c r="F167" s="1"/>
      <c r="G167" s="1"/>
      <c r="H167" s="1"/>
      <c r="I167" s="1"/>
      <c r="J167" s="1"/>
      <c r="K167" s="1"/>
    </row>
    <row r="168" ht="27.75" customHeight="1">
      <c r="A168" s="1"/>
      <c r="B168" s="10"/>
      <c r="C168" s="10"/>
      <c r="D168" s="10"/>
      <c r="E168" s="1"/>
      <c r="F168" s="1"/>
      <c r="G168" s="1"/>
      <c r="H168" s="1"/>
      <c r="I168" s="1"/>
      <c r="J168" s="1"/>
      <c r="K168" s="1"/>
    </row>
    <row r="169" ht="27.75" customHeight="1">
      <c r="A169" s="1"/>
      <c r="B169" s="10"/>
      <c r="C169" s="10"/>
      <c r="D169" s="10"/>
      <c r="E169" s="1"/>
      <c r="F169" s="1"/>
      <c r="G169" s="1"/>
      <c r="H169" s="1"/>
      <c r="I169" s="1"/>
      <c r="J169" s="1"/>
      <c r="K169" s="1"/>
    </row>
    <row r="170" ht="27.75" customHeight="1">
      <c r="A170" s="1"/>
      <c r="B170" s="10"/>
      <c r="C170" s="10"/>
      <c r="D170" s="10"/>
      <c r="E170" s="1"/>
      <c r="F170" s="1"/>
      <c r="G170" s="1"/>
      <c r="H170" s="1"/>
      <c r="I170" s="1"/>
      <c r="J170" s="1"/>
      <c r="K170" s="1"/>
    </row>
    <row r="171" ht="27.75" customHeight="1">
      <c r="A171" s="1"/>
      <c r="B171" s="10"/>
      <c r="C171" s="10"/>
      <c r="D171" s="10"/>
      <c r="E171" s="1"/>
      <c r="F171" s="1"/>
      <c r="G171" s="1"/>
      <c r="H171" s="1"/>
      <c r="I171" s="1"/>
      <c r="J171" s="1"/>
      <c r="K171" s="1"/>
    </row>
    <row r="172" ht="27.75" customHeight="1">
      <c r="A172" s="1"/>
      <c r="B172" s="10"/>
      <c r="C172" s="10"/>
      <c r="D172" s="10"/>
      <c r="E172" s="1"/>
      <c r="F172" s="1"/>
      <c r="G172" s="1"/>
      <c r="H172" s="1"/>
      <c r="I172" s="1"/>
      <c r="J172" s="1"/>
      <c r="K172" s="1"/>
    </row>
    <row r="173" ht="27.75" customHeight="1">
      <c r="A173" s="1"/>
      <c r="B173" s="10"/>
      <c r="C173" s="10"/>
      <c r="D173" s="10"/>
      <c r="E173" s="1"/>
      <c r="F173" s="1"/>
      <c r="G173" s="1"/>
      <c r="H173" s="1"/>
      <c r="I173" s="1"/>
      <c r="J173" s="1"/>
      <c r="K173" s="1"/>
    </row>
    <row r="174" ht="27.75" customHeight="1">
      <c r="A174" s="1"/>
      <c r="B174" s="10"/>
      <c r="C174" s="10"/>
      <c r="D174" s="10"/>
      <c r="E174" s="1"/>
      <c r="F174" s="1"/>
      <c r="G174" s="1"/>
      <c r="H174" s="1"/>
      <c r="I174" s="1"/>
      <c r="J174" s="1"/>
      <c r="K174" s="1"/>
    </row>
    <row r="175" ht="27.75" customHeight="1">
      <c r="A175" s="1"/>
      <c r="B175" s="10"/>
      <c r="C175" s="10"/>
      <c r="D175" s="10"/>
      <c r="E175" s="1"/>
      <c r="F175" s="1"/>
      <c r="G175" s="1"/>
      <c r="H175" s="1"/>
      <c r="I175" s="1"/>
      <c r="J175" s="1"/>
      <c r="K175" s="1"/>
    </row>
    <row r="176" ht="27.75" customHeight="1">
      <c r="A176" s="1"/>
      <c r="B176" s="10"/>
      <c r="C176" s="10"/>
      <c r="D176" s="10"/>
      <c r="E176" s="1"/>
      <c r="F176" s="1"/>
      <c r="G176" s="1"/>
      <c r="H176" s="1"/>
      <c r="I176" s="1"/>
      <c r="J176" s="1"/>
      <c r="K176" s="1"/>
    </row>
    <row r="177" ht="27.75" customHeight="1">
      <c r="A177" s="1"/>
      <c r="B177" s="10"/>
      <c r="C177" s="10"/>
      <c r="D177" s="10"/>
      <c r="E177" s="1"/>
      <c r="F177" s="1"/>
      <c r="G177" s="1"/>
      <c r="H177" s="1"/>
      <c r="I177" s="1"/>
      <c r="J177" s="1"/>
      <c r="K177" s="1"/>
    </row>
    <row r="178" ht="27.75" customHeight="1">
      <c r="A178" s="1"/>
      <c r="B178" s="10"/>
      <c r="C178" s="10"/>
      <c r="D178" s="10"/>
      <c r="E178" s="1"/>
      <c r="F178" s="1"/>
      <c r="G178" s="1"/>
      <c r="H178" s="1"/>
      <c r="I178" s="1"/>
      <c r="J178" s="1"/>
      <c r="K178" s="1"/>
    </row>
    <row r="179" ht="27.75" customHeight="1">
      <c r="A179" s="1"/>
      <c r="B179" s="10"/>
      <c r="C179" s="10"/>
      <c r="D179" s="10"/>
      <c r="E179" s="1"/>
      <c r="F179" s="1"/>
      <c r="G179" s="1"/>
      <c r="H179" s="1"/>
      <c r="I179" s="1"/>
      <c r="J179" s="1"/>
      <c r="K179" s="1"/>
    </row>
    <row r="180" ht="27.75" customHeight="1">
      <c r="A180" s="1"/>
      <c r="B180" s="10"/>
      <c r="C180" s="10"/>
      <c r="D180" s="10"/>
      <c r="E180" s="1"/>
      <c r="F180" s="1"/>
      <c r="G180" s="1"/>
      <c r="H180" s="1"/>
      <c r="I180" s="1"/>
      <c r="J180" s="1"/>
      <c r="K180" s="1"/>
    </row>
    <row r="181" ht="27.75" customHeight="1">
      <c r="A181" s="1"/>
      <c r="B181" s="10"/>
      <c r="C181" s="10"/>
      <c r="D181" s="10"/>
      <c r="E181" s="1"/>
      <c r="F181" s="1"/>
      <c r="G181" s="1"/>
      <c r="H181" s="1"/>
      <c r="I181" s="1"/>
      <c r="J181" s="1"/>
      <c r="K181" s="1"/>
    </row>
    <row r="182" ht="27.75" customHeight="1">
      <c r="A182" s="1"/>
      <c r="B182" s="10"/>
      <c r="C182" s="10"/>
      <c r="D182" s="10"/>
      <c r="E182" s="1"/>
      <c r="F182" s="1"/>
      <c r="G182" s="1"/>
      <c r="H182" s="1"/>
      <c r="I182" s="1"/>
      <c r="J182" s="1"/>
      <c r="K182" s="1"/>
    </row>
    <row r="183" ht="27.75" customHeight="1">
      <c r="A183" s="1"/>
      <c r="B183" s="10"/>
      <c r="C183" s="10"/>
      <c r="D183" s="10"/>
      <c r="E183" s="1"/>
      <c r="F183" s="1"/>
      <c r="G183" s="1"/>
      <c r="H183" s="1"/>
      <c r="I183" s="1"/>
      <c r="J183" s="1"/>
      <c r="K183" s="1"/>
    </row>
    <row r="184" ht="27.75" customHeight="1">
      <c r="A184" s="1"/>
      <c r="B184" s="10"/>
      <c r="C184" s="10"/>
      <c r="D184" s="10"/>
      <c r="E184" s="1"/>
      <c r="F184" s="1"/>
      <c r="G184" s="1"/>
      <c r="H184" s="1"/>
      <c r="I184" s="1"/>
      <c r="J184" s="1"/>
      <c r="K184" s="1"/>
    </row>
    <row r="185" ht="27.75" customHeight="1">
      <c r="A185" s="1"/>
      <c r="B185" s="10"/>
      <c r="C185" s="10"/>
      <c r="D185" s="10"/>
      <c r="E185" s="1"/>
      <c r="F185" s="1"/>
      <c r="G185" s="1"/>
      <c r="H185" s="1"/>
      <c r="I185" s="1"/>
      <c r="J185" s="1"/>
      <c r="K185" s="1"/>
    </row>
    <row r="186" ht="27.75" customHeight="1">
      <c r="A186" s="1"/>
      <c r="B186" s="10"/>
      <c r="C186" s="10"/>
      <c r="D186" s="10"/>
      <c r="E186" s="1"/>
      <c r="F186" s="1"/>
      <c r="G186" s="1"/>
      <c r="H186" s="1"/>
      <c r="I186" s="1"/>
      <c r="J186" s="1"/>
      <c r="K186" s="1"/>
    </row>
    <row r="187" ht="27.75" customHeight="1">
      <c r="A187" s="1"/>
      <c r="B187" s="10"/>
      <c r="C187" s="10"/>
      <c r="D187" s="10"/>
      <c r="E187" s="1"/>
      <c r="F187" s="1"/>
      <c r="G187" s="1"/>
      <c r="H187" s="1"/>
      <c r="I187" s="1"/>
      <c r="J187" s="1"/>
      <c r="K187" s="1"/>
    </row>
    <row r="188" ht="27.75" customHeight="1">
      <c r="A188" s="1"/>
      <c r="B188" s="10"/>
      <c r="C188" s="10"/>
      <c r="D188" s="10"/>
      <c r="E188" s="1"/>
      <c r="F188" s="1"/>
      <c r="G188" s="1"/>
      <c r="H188" s="1"/>
      <c r="I188" s="1"/>
      <c r="J188" s="1"/>
      <c r="K188" s="1"/>
    </row>
    <row r="189" ht="27.75" customHeight="1">
      <c r="A189" s="1"/>
      <c r="B189" s="10"/>
      <c r="C189" s="10"/>
      <c r="D189" s="10"/>
      <c r="E189" s="1"/>
      <c r="F189" s="1"/>
      <c r="G189" s="1"/>
      <c r="H189" s="1"/>
      <c r="I189" s="1"/>
      <c r="J189" s="1"/>
      <c r="K189" s="1"/>
    </row>
    <row r="190" ht="27.75" customHeight="1">
      <c r="A190" s="1"/>
      <c r="B190" s="10"/>
      <c r="C190" s="10"/>
      <c r="D190" s="10"/>
      <c r="E190" s="1"/>
      <c r="F190" s="1"/>
      <c r="G190" s="1"/>
      <c r="H190" s="1"/>
      <c r="I190" s="1"/>
      <c r="J190" s="1"/>
      <c r="K190" s="1"/>
    </row>
    <row r="191" ht="27.75" customHeight="1">
      <c r="A191" s="1"/>
      <c r="B191" s="10"/>
      <c r="C191" s="10"/>
      <c r="D191" s="10"/>
      <c r="E191" s="1"/>
      <c r="F191" s="1"/>
      <c r="G191" s="1"/>
      <c r="H191" s="1"/>
      <c r="I191" s="1"/>
      <c r="J191" s="1"/>
      <c r="K191" s="1"/>
    </row>
    <row r="192" ht="27.75" customHeight="1">
      <c r="A192" s="1"/>
      <c r="B192" s="10"/>
      <c r="C192" s="10"/>
      <c r="D192" s="10"/>
      <c r="E192" s="1"/>
      <c r="F192" s="1"/>
      <c r="G192" s="1"/>
      <c r="H192" s="1"/>
      <c r="I192" s="1"/>
      <c r="J192" s="1"/>
      <c r="K192" s="1"/>
    </row>
    <row r="193" ht="27.75" customHeight="1">
      <c r="A193" s="1"/>
      <c r="B193" s="10"/>
      <c r="C193" s="10"/>
      <c r="D193" s="10"/>
      <c r="E193" s="1"/>
      <c r="F193" s="1"/>
      <c r="G193" s="1"/>
      <c r="H193" s="1"/>
      <c r="I193" s="1"/>
      <c r="J193" s="1"/>
      <c r="K193" s="1"/>
    </row>
    <row r="194" ht="27.75" customHeight="1">
      <c r="A194" s="1"/>
      <c r="B194" s="10"/>
      <c r="C194" s="10"/>
      <c r="D194" s="10"/>
      <c r="E194" s="1"/>
      <c r="F194" s="1"/>
      <c r="G194" s="1"/>
      <c r="H194" s="1"/>
      <c r="I194" s="1"/>
      <c r="J194" s="1"/>
      <c r="K194" s="1"/>
    </row>
    <row r="195" ht="27.75" customHeight="1">
      <c r="A195" s="1"/>
      <c r="B195" s="10"/>
      <c r="C195" s="10"/>
      <c r="D195" s="10"/>
      <c r="E195" s="1"/>
      <c r="F195" s="1"/>
      <c r="G195" s="1"/>
      <c r="H195" s="1"/>
      <c r="I195" s="1"/>
      <c r="J195" s="1"/>
      <c r="K195" s="1"/>
    </row>
    <row r="196" ht="27.75" customHeight="1">
      <c r="A196" s="1"/>
      <c r="B196" s="10"/>
      <c r="C196" s="10"/>
      <c r="D196" s="10"/>
      <c r="E196" s="1"/>
      <c r="F196" s="1"/>
      <c r="G196" s="1"/>
      <c r="H196" s="1"/>
      <c r="I196" s="1"/>
      <c r="J196" s="1"/>
      <c r="K196" s="1"/>
    </row>
    <row r="197" ht="27.75" customHeight="1">
      <c r="A197" s="1"/>
      <c r="B197" s="10"/>
      <c r="C197" s="10"/>
      <c r="D197" s="10"/>
      <c r="E197" s="1"/>
      <c r="F197" s="1"/>
      <c r="G197" s="1"/>
      <c r="H197" s="1"/>
      <c r="I197" s="1"/>
      <c r="J197" s="1"/>
      <c r="K197" s="1"/>
    </row>
    <row r="198" ht="27.75" customHeight="1">
      <c r="A198" s="1"/>
      <c r="B198" s="10"/>
      <c r="C198" s="10"/>
      <c r="D198" s="10"/>
      <c r="E198" s="1"/>
      <c r="F198" s="1"/>
      <c r="G198" s="1"/>
      <c r="H198" s="1"/>
      <c r="I198" s="1"/>
      <c r="J198" s="1"/>
      <c r="K198" s="1"/>
    </row>
    <row r="199" ht="27.75" customHeight="1">
      <c r="A199" s="1"/>
      <c r="B199" s="10"/>
      <c r="C199" s="10"/>
      <c r="D199" s="10"/>
      <c r="E199" s="1"/>
      <c r="F199" s="1"/>
      <c r="G199" s="1"/>
      <c r="H199" s="1"/>
      <c r="I199" s="1"/>
      <c r="J199" s="1"/>
      <c r="K199" s="1"/>
    </row>
    <row r="200" ht="27.75" customHeight="1">
      <c r="A200" s="1"/>
      <c r="B200" s="10"/>
      <c r="C200" s="10"/>
      <c r="D200" s="10"/>
      <c r="E200" s="1"/>
      <c r="F200" s="1"/>
      <c r="G200" s="1"/>
      <c r="H200" s="1"/>
      <c r="I200" s="1"/>
      <c r="J200" s="1"/>
      <c r="K200" s="1"/>
    </row>
    <row r="201" ht="27.75" customHeight="1">
      <c r="A201" s="1"/>
      <c r="B201" s="10"/>
      <c r="C201" s="10"/>
      <c r="D201" s="10"/>
      <c r="E201" s="1"/>
      <c r="F201" s="1"/>
      <c r="G201" s="1"/>
      <c r="H201" s="1"/>
      <c r="I201" s="1"/>
      <c r="J201" s="1"/>
      <c r="K201" s="1"/>
    </row>
    <row r="202" ht="27.75" customHeight="1">
      <c r="A202" s="1"/>
      <c r="B202" s="10"/>
      <c r="C202" s="10"/>
      <c r="D202" s="10"/>
      <c r="E202" s="1"/>
      <c r="F202" s="1"/>
      <c r="G202" s="1"/>
      <c r="H202" s="1"/>
      <c r="I202" s="1"/>
      <c r="J202" s="1"/>
      <c r="K202" s="1"/>
    </row>
    <row r="203" ht="27.75" customHeight="1">
      <c r="A203" s="1"/>
      <c r="B203" s="10"/>
      <c r="C203" s="10"/>
      <c r="D203" s="10"/>
      <c r="E203" s="1"/>
      <c r="F203" s="1"/>
      <c r="G203" s="1"/>
      <c r="H203" s="1"/>
      <c r="I203" s="1"/>
      <c r="J203" s="1"/>
      <c r="K203" s="1"/>
    </row>
    <row r="204" ht="27.75" customHeight="1">
      <c r="A204" s="1"/>
      <c r="B204" s="10"/>
      <c r="C204" s="10"/>
      <c r="D204" s="10"/>
      <c r="E204" s="1"/>
      <c r="F204" s="1"/>
      <c r="G204" s="1"/>
      <c r="H204" s="1"/>
      <c r="I204" s="1"/>
      <c r="J204" s="1"/>
      <c r="K204" s="1"/>
    </row>
    <row r="205" ht="27.75" customHeight="1">
      <c r="A205" s="1"/>
      <c r="B205" s="10"/>
      <c r="C205" s="10"/>
      <c r="D205" s="10"/>
      <c r="E205" s="1"/>
      <c r="F205" s="1"/>
      <c r="G205" s="1"/>
      <c r="H205" s="1"/>
      <c r="I205" s="1"/>
      <c r="J205" s="1"/>
      <c r="K205" s="1"/>
    </row>
    <row r="206" ht="27.75" customHeight="1">
      <c r="A206" s="1"/>
      <c r="B206" s="10"/>
      <c r="C206" s="10"/>
      <c r="D206" s="10"/>
      <c r="E206" s="1"/>
      <c r="F206" s="1"/>
      <c r="G206" s="1"/>
      <c r="H206" s="1"/>
      <c r="I206" s="1"/>
      <c r="J206" s="1"/>
      <c r="K206" s="1"/>
    </row>
    <row r="207" ht="27.75" customHeight="1">
      <c r="A207" s="1"/>
      <c r="B207" s="10"/>
      <c r="C207" s="10"/>
      <c r="D207" s="10"/>
      <c r="E207" s="1"/>
      <c r="F207" s="1"/>
      <c r="G207" s="1"/>
      <c r="H207" s="1"/>
      <c r="I207" s="1"/>
      <c r="J207" s="1"/>
      <c r="K207" s="1"/>
    </row>
    <row r="208" ht="27.75" customHeight="1">
      <c r="A208" s="1"/>
      <c r="B208" s="10"/>
      <c r="C208" s="10"/>
      <c r="D208" s="10"/>
      <c r="E208" s="1"/>
      <c r="F208" s="1"/>
      <c r="G208" s="1"/>
      <c r="H208" s="1"/>
      <c r="I208" s="1"/>
      <c r="J208" s="1"/>
      <c r="K208" s="1"/>
    </row>
    <row r="209" ht="27.75" customHeight="1">
      <c r="A209" s="1"/>
      <c r="B209" s="10"/>
      <c r="C209" s="10"/>
      <c r="D209" s="10"/>
      <c r="E209" s="1"/>
      <c r="F209" s="1"/>
      <c r="G209" s="1"/>
      <c r="H209" s="1"/>
      <c r="I209" s="1"/>
      <c r="J209" s="1"/>
      <c r="K209" s="1"/>
    </row>
    <row r="210" ht="27.75" customHeight="1">
      <c r="A210" s="1"/>
      <c r="B210" s="10"/>
      <c r="C210" s="10"/>
      <c r="D210" s="10"/>
      <c r="E210" s="1"/>
      <c r="F210" s="1"/>
      <c r="G210" s="1"/>
      <c r="H210" s="1"/>
      <c r="I210" s="1"/>
      <c r="J210" s="1"/>
      <c r="K210" s="1"/>
    </row>
    <row r="211" ht="27.75" customHeight="1">
      <c r="A211" s="1"/>
      <c r="B211" s="10"/>
      <c r="C211" s="10"/>
      <c r="D211" s="10"/>
      <c r="E211" s="1"/>
      <c r="F211" s="1"/>
      <c r="G211" s="1"/>
      <c r="H211" s="1"/>
      <c r="I211" s="1"/>
      <c r="J211" s="1"/>
      <c r="K211" s="1"/>
    </row>
    <row r="212" ht="27.75" customHeight="1">
      <c r="A212" s="1"/>
      <c r="B212" s="10"/>
      <c r="C212" s="10"/>
      <c r="D212" s="10"/>
      <c r="E212" s="1"/>
      <c r="F212" s="1"/>
      <c r="G212" s="1"/>
      <c r="H212" s="1"/>
      <c r="I212" s="1"/>
      <c r="J212" s="1"/>
      <c r="K212" s="1"/>
    </row>
    <row r="213" ht="27.75" customHeight="1">
      <c r="A213" s="1"/>
      <c r="B213" s="10"/>
      <c r="C213" s="10"/>
      <c r="D213" s="10"/>
      <c r="E213" s="1"/>
      <c r="F213" s="1"/>
      <c r="G213" s="1"/>
      <c r="H213" s="1"/>
      <c r="I213" s="1"/>
      <c r="J213" s="1"/>
      <c r="K213" s="1"/>
    </row>
    <row r="214" ht="27.75" customHeight="1">
      <c r="A214" s="1"/>
      <c r="B214" s="10"/>
      <c r="C214" s="10"/>
      <c r="D214" s="10"/>
      <c r="E214" s="1"/>
      <c r="F214" s="1"/>
      <c r="G214" s="1"/>
      <c r="H214" s="1"/>
      <c r="I214" s="1"/>
      <c r="J214" s="1"/>
      <c r="K214" s="1"/>
    </row>
    <row r="215" ht="27.75" customHeight="1">
      <c r="A215" s="1"/>
      <c r="B215" s="10"/>
      <c r="C215" s="10"/>
      <c r="D215" s="10"/>
      <c r="E215" s="1"/>
      <c r="F215" s="1"/>
      <c r="G215" s="1"/>
      <c r="H215" s="1"/>
      <c r="I215" s="1"/>
      <c r="J215" s="1"/>
      <c r="K215" s="1"/>
    </row>
    <row r="216" ht="27.75" customHeight="1">
      <c r="A216" s="1"/>
      <c r="B216" s="10"/>
      <c r="C216" s="10"/>
      <c r="D216" s="10"/>
      <c r="E216" s="1"/>
      <c r="F216" s="1"/>
      <c r="G216" s="1"/>
      <c r="H216" s="1"/>
      <c r="I216" s="1"/>
      <c r="J216" s="1"/>
      <c r="K216" s="1"/>
    </row>
    <row r="217" ht="27.75" customHeight="1">
      <c r="A217" s="1"/>
      <c r="B217" s="10"/>
      <c r="C217" s="10"/>
      <c r="D217" s="10"/>
      <c r="E217" s="1"/>
      <c r="F217" s="1"/>
      <c r="G217" s="1"/>
      <c r="H217" s="1"/>
      <c r="I217" s="1"/>
      <c r="J217" s="1"/>
      <c r="K217" s="1"/>
    </row>
    <row r="218" ht="27.75" customHeight="1">
      <c r="A218" s="1"/>
      <c r="B218" s="10"/>
      <c r="C218" s="10"/>
      <c r="D218" s="10"/>
      <c r="E218" s="1"/>
      <c r="F218" s="1"/>
      <c r="G218" s="1"/>
      <c r="H218" s="1"/>
      <c r="I218" s="1"/>
      <c r="J218" s="1"/>
      <c r="K218" s="1"/>
    </row>
    <row r="219" ht="27.75" customHeight="1">
      <c r="A219" s="1"/>
      <c r="B219" s="10"/>
      <c r="C219" s="10"/>
      <c r="D219" s="10"/>
      <c r="E219" s="1"/>
      <c r="F219" s="1"/>
      <c r="G219" s="1"/>
      <c r="H219" s="1"/>
      <c r="I219" s="1"/>
      <c r="J219" s="1"/>
      <c r="K219" s="1"/>
    </row>
    <row r="220" ht="27.75" customHeight="1">
      <c r="A220" s="1"/>
      <c r="B220" s="10"/>
      <c r="C220" s="10"/>
      <c r="D220" s="10"/>
      <c r="E220" s="1"/>
      <c r="F220" s="1"/>
      <c r="G220" s="1"/>
      <c r="H220" s="1"/>
      <c r="I220" s="1"/>
      <c r="J220" s="1"/>
      <c r="K220" s="1"/>
    </row>
    <row r="221" ht="27.75" customHeight="1">
      <c r="A221" s="1"/>
      <c r="B221" s="10"/>
      <c r="C221" s="10"/>
      <c r="D221" s="10"/>
      <c r="E221" s="1"/>
      <c r="F221" s="1"/>
      <c r="G221" s="1"/>
      <c r="H221" s="1"/>
      <c r="I221" s="1"/>
      <c r="J221" s="1"/>
      <c r="K221" s="1"/>
    </row>
    <row r="222" ht="27.75" customHeight="1">
      <c r="A222" s="1"/>
      <c r="B222" s="10"/>
      <c r="C222" s="10"/>
      <c r="D222" s="10"/>
      <c r="E222" s="1"/>
      <c r="F222" s="1"/>
      <c r="G222" s="1"/>
      <c r="H222" s="1"/>
      <c r="I222" s="1"/>
      <c r="J222" s="1"/>
      <c r="K222" s="1"/>
    </row>
    <row r="223" ht="27.75" customHeight="1">
      <c r="A223" s="1"/>
      <c r="B223" s="10"/>
      <c r="C223" s="10"/>
      <c r="D223" s="10"/>
      <c r="E223" s="1"/>
      <c r="F223" s="1"/>
      <c r="G223" s="1"/>
      <c r="H223" s="1"/>
      <c r="I223" s="1"/>
      <c r="J223" s="1"/>
      <c r="K223" s="1"/>
    </row>
    <row r="224" ht="27.75" customHeight="1">
      <c r="A224" s="1"/>
      <c r="B224" s="10"/>
      <c r="C224" s="10"/>
      <c r="D224" s="10"/>
      <c r="E224" s="1"/>
      <c r="F224" s="1"/>
      <c r="G224" s="1"/>
      <c r="H224" s="1"/>
      <c r="I224" s="1"/>
      <c r="J224" s="1"/>
      <c r="K224" s="1"/>
    </row>
    <row r="225" ht="27.75" customHeight="1">
      <c r="A225" s="1"/>
      <c r="B225" s="10"/>
      <c r="C225" s="10"/>
      <c r="D225" s="10"/>
      <c r="E225" s="1"/>
      <c r="F225" s="1"/>
      <c r="G225" s="1"/>
      <c r="H225" s="1"/>
      <c r="I225" s="1"/>
      <c r="J225" s="1"/>
      <c r="K225" s="1"/>
    </row>
    <row r="226" ht="27.75" customHeight="1">
      <c r="A226" s="1"/>
      <c r="B226" s="10"/>
      <c r="C226" s="10"/>
      <c r="D226" s="10"/>
      <c r="E226" s="1"/>
      <c r="F226" s="1"/>
      <c r="G226" s="1"/>
      <c r="H226" s="1"/>
      <c r="I226" s="1"/>
      <c r="J226" s="1"/>
      <c r="K226" s="1"/>
    </row>
    <row r="227" ht="27.75" customHeight="1">
      <c r="A227" s="1"/>
      <c r="B227" s="10"/>
      <c r="C227" s="10"/>
      <c r="D227" s="10"/>
      <c r="E227" s="1"/>
      <c r="F227" s="1"/>
      <c r="G227" s="1"/>
      <c r="H227" s="1"/>
      <c r="I227" s="1"/>
      <c r="J227" s="1"/>
      <c r="K227" s="1"/>
    </row>
    <row r="228" ht="27.75" customHeight="1">
      <c r="A228" s="1"/>
      <c r="B228" s="10"/>
      <c r="C228" s="10"/>
      <c r="D228" s="10"/>
      <c r="E228" s="1"/>
      <c r="F228" s="1"/>
      <c r="G228" s="1"/>
      <c r="H228" s="1"/>
      <c r="I228" s="1"/>
      <c r="J228" s="1"/>
      <c r="K228" s="1"/>
    </row>
    <row r="229" ht="27.75" customHeight="1">
      <c r="A229" s="1"/>
      <c r="B229" s="10"/>
      <c r="C229" s="10"/>
      <c r="D229" s="10"/>
      <c r="E229" s="1"/>
      <c r="F229" s="1"/>
      <c r="G229" s="1"/>
      <c r="H229" s="1"/>
      <c r="I229" s="1"/>
      <c r="J229" s="1"/>
      <c r="K229" s="1"/>
    </row>
    <row r="230" ht="24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24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24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24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24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24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</sheetData>
  <mergeCells count="2">
    <mergeCell ref="B2:K2"/>
    <mergeCell ref="B117:D117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4252"/>
    <pageSetUpPr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26.0"/>
    <col customWidth="1" min="3" max="4" width="20.0"/>
    <col customWidth="1" min="5" max="6" width="16.0"/>
    <col customWidth="1" min="7" max="14" width="13.0"/>
  </cols>
  <sheetData>
    <row r="1" ht="24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75" customHeight="1">
      <c r="A2" s="1"/>
      <c r="B2" s="2" t="s">
        <v>65</v>
      </c>
    </row>
    <row r="3" ht="24.75" customHeight="1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24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24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ht="31.5" customHeight="1">
      <c r="A6" s="1"/>
      <c r="B6" s="1" t="s">
        <v>66</v>
      </c>
      <c r="C6" s="1"/>
      <c r="D6" s="1"/>
      <c r="E6" s="48"/>
      <c r="G6" s="1"/>
      <c r="H6" s="49" t="s">
        <v>67</v>
      </c>
      <c r="J6" s="50" t="str">
        <f>IF(COUNT(E6:E10)&lt;5,"",E6+E7*E9*12)</f>
        <v/>
      </c>
      <c r="N6" s="1"/>
    </row>
    <row r="7" ht="31.5" customHeight="1">
      <c r="A7" s="1"/>
      <c r="B7" s="1" t="s">
        <v>68</v>
      </c>
      <c r="C7" s="1"/>
      <c r="D7" s="1"/>
      <c r="E7" s="48"/>
      <c r="G7" s="1"/>
      <c r="H7" s="49" t="s">
        <v>69</v>
      </c>
      <c r="J7" s="50" t="str">
        <f>IF(COUNT(E6:E10)&lt;5,"",IF('Cálculos'!J4=0,E6+E7*E9*12,E6*(1+'Cálculos'!J4)^(E9*12)+E7*((1+'Cálculos'!J4)^(E9*12)-1)/'Cálculos'!J4))</f>
        <v/>
      </c>
      <c r="N7" s="1"/>
    </row>
    <row r="8" ht="31.5" customHeight="1">
      <c r="A8" s="1"/>
      <c r="B8" s="1" t="s">
        <v>70</v>
      </c>
      <c r="C8" s="1"/>
      <c r="D8" s="1"/>
      <c r="E8" s="51"/>
      <c r="G8" s="1"/>
      <c r="H8" s="49" t="s">
        <v>71</v>
      </c>
      <c r="J8" s="50" t="str">
        <f>IF(COUNT(J7)=0,"",J7/(1+E10)^E9)</f>
        <v/>
      </c>
      <c r="N8" s="1"/>
    </row>
    <row r="9" ht="31.5" customHeight="1">
      <c r="A9" s="1"/>
      <c r="B9" s="1" t="s">
        <v>72</v>
      </c>
      <c r="C9" s="1"/>
      <c r="D9" s="1"/>
      <c r="E9" s="52"/>
      <c r="G9" s="1"/>
      <c r="H9" s="49" t="s">
        <v>73</v>
      </c>
      <c r="J9" s="50" t="str">
        <f>IF(COUNT(J7)=0,"",J7-J6)</f>
        <v/>
      </c>
      <c r="N9" s="1"/>
    </row>
    <row r="10" ht="31.5" customHeight="1">
      <c r="A10" s="1"/>
      <c r="B10" s="1" t="s">
        <v>74</v>
      </c>
      <c r="C10" s="1"/>
      <c r="D10" s="1"/>
      <c r="E10" s="51"/>
      <c r="G10" s="1"/>
      <c r="H10" s="1"/>
      <c r="I10" s="1"/>
      <c r="J10" s="1"/>
      <c r="K10" s="1"/>
      <c r="L10" s="1"/>
      <c r="M10" s="1"/>
      <c r="N10" s="1"/>
    </row>
    <row r="11" ht="24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ht="24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ht="24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ht="24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ht="24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ht="43.5" customHeight="1">
      <c r="A16" s="1"/>
      <c r="B16" s="53" t="s">
        <v>21</v>
      </c>
      <c r="C16" s="53" t="s">
        <v>67</v>
      </c>
      <c r="D16" s="53" t="s">
        <v>75</v>
      </c>
      <c r="E16" s="53" t="s">
        <v>76</v>
      </c>
      <c r="F16" s="1"/>
      <c r="G16" s="1"/>
      <c r="H16" s="1"/>
      <c r="I16" s="1"/>
      <c r="J16" s="1"/>
      <c r="K16" s="1"/>
      <c r="L16" s="1"/>
      <c r="M16" s="1"/>
      <c r="N16" s="1"/>
    </row>
    <row r="17" ht="24.75" customHeight="1">
      <c r="A17" s="1"/>
      <c r="B17" s="1">
        <v>1.0</v>
      </c>
      <c r="C17" s="54" t="str">
        <f t="shared" ref="C17:C46" si="1">IF(OR(COUNT($E$6:$E$10)&lt;5,B17&gt;$E$9),"",$E$6+$E$7*B17*12)</f>
        <v/>
      </c>
      <c r="D17" s="54" t="str">
        <f>IF(COUNT(C17)=0,"",IF('Cálculos'!$J$4=0,C17,$E$6*(1+'Cálculos'!$J$4)^(B17*12)+$E$7*((1+'Cálculos'!$J$4)^(B17*12)-1)/'Cálculos'!$J$4))</f>
        <v/>
      </c>
      <c r="E17" s="54" t="str">
        <f t="shared" ref="E17:E46" si="2">IF(COUNT(D17)=0,"",D17/(1+$E$10)^B17)</f>
        <v/>
      </c>
      <c r="F17" s="1"/>
      <c r="G17" s="1"/>
      <c r="H17" s="1"/>
      <c r="I17" s="1"/>
      <c r="J17" s="1"/>
      <c r="K17" s="1"/>
      <c r="L17" s="1"/>
      <c r="M17" s="1"/>
      <c r="N17" s="1"/>
    </row>
    <row r="18" ht="24.75" customHeight="1">
      <c r="A18" s="1"/>
      <c r="B18" s="1">
        <v>2.0</v>
      </c>
      <c r="C18" s="54" t="str">
        <f t="shared" si="1"/>
        <v/>
      </c>
      <c r="D18" s="54" t="str">
        <f>IF(COUNT(C18)=0,"",IF('Cálculos'!$J$4=0,C18,$E$6*(1+'Cálculos'!$J$4)^(B18*12)+$E$7*((1+'Cálculos'!$J$4)^(B18*12)-1)/'Cálculos'!$J$4))</f>
        <v/>
      </c>
      <c r="E18" s="54" t="str">
        <f t="shared" si="2"/>
        <v/>
      </c>
      <c r="F18" s="1"/>
      <c r="G18" s="1"/>
      <c r="H18" s="1"/>
      <c r="I18" s="1"/>
      <c r="J18" s="1"/>
      <c r="K18" s="1"/>
      <c r="L18" s="1"/>
      <c r="M18" s="1"/>
      <c r="N18" s="1"/>
    </row>
    <row r="19" ht="24.75" customHeight="1">
      <c r="A19" s="1"/>
      <c r="B19" s="1">
        <v>3.0</v>
      </c>
      <c r="C19" s="54" t="str">
        <f t="shared" si="1"/>
        <v/>
      </c>
      <c r="D19" s="54" t="str">
        <f>IF(COUNT(C19)=0,"",IF('Cálculos'!$J$4=0,C19,$E$6*(1+'Cálculos'!$J$4)^(B19*12)+$E$7*((1+'Cálculos'!$J$4)^(B19*12)-1)/'Cálculos'!$J$4))</f>
        <v/>
      </c>
      <c r="E19" s="54" t="str">
        <f t="shared" si="2"/>
        <v/>
      </c>
      <c r="F19" s="1"/>
      <c r="G19" s="1"/>
      <c r="H19" s="1"/>
      <c r="I19" s="1"/>
      <c r="J19" s="1"/>
      <c r="K19" s="1"/>
      <c r="L19" s="1"/>
      <c r="M19" s="1"/>
      <c r="N19" s="1"/>
    </row>
    <row r="20" ht="24.75" customHeight="1">
      <c r="A20" s="1"/>
      <c r="B20" s="1">
        <v>4.0</v>
      </c>
      <c r="C20" s="54" t="str">
        <f t="shared" si="1"/>
        <v/>
      </c>
      <c r="D20" s="54" t="str">
        <f>IF(COUNT(C20)=0,"",IF('Cálculos'!$J$4=0,C20,$E$6*(1+'Cálculos'!$J$4)^(B20*12)+$E$7*((1+'Cálculos'!$J$4)^(B20*12)-1)/'Cálculos'!$J$4))</f>
        <v/>
      </c>
      <c r="E20" s="54" t="str">
        <f t="shared" si="2"/>
        <v/>
      </c>
      <c r="F20" s="1"/>
      <c r="G20" s="1"/>
      <c r="H20" s="1"/>
      <c r="I20" s="1"/>
      <c r="J20" s="1"/>
      <c r="K20" s="1"/>
      <c r="L20" s="1"/>
      <c r="M20" s="1"/>
      <c r="N20" s="1"/>
    </row>
    <row r="21" ht="24.75" customHeight="1">
      <c r="A21" s="1"/>
      <c r="B21" s="1">
        <v>5.0</v>
      </c>
      <c r="C21" s="54" t="str">
        <f t="shared" si="1"/>
        <v/>
      </c>
      <c r="D21" s="54" t="str">
        <f>IF(COUNT(C21)=0,"",IF('Cálculos'!$J$4=0,C21,$E$6*(1+'Cálculos'!$J$4)^(B21*12)+$E$7*((1+'Cálculos'!$J$4)^(B21*12)-1)/'Cálculos'!$J$4))</f>
        <v/>
      </c>
      <c r="E21" s="54" t="str">
        <f t="shared" si="2"/>
        <v/>
      </c>
      <c r="F21" s="1"/>
      <c r="G21" s="1"/>
      <c r="H21" s="1"/>
      <c r="I21" s="1"/>
      <c r="J21" s="1"/>
      <c r="K21" s="1"/>
      <c r="L21" s="1"/>
      <c r="M21" s="1"/>
      <c r="N21" s="1"/>
    </row>
    <row r="22" ht="24.75" customHeight="1">
      <c r="A22" s="1"/>
      <c r="B22" s="1">
        <v>6.0</v>
      </c>
      <c r="C22" s="54" t="str">
        <f t="shared" si="1"/>
        <v/>
      </c>
      <c r="D22" s="54" t="str">
        <f>IF(COUNT(C22)=0,"",IF('Cálculos'!$J$4=0,C22,$E$6*(1+'Cálculos'!$J$4)^(B22*12)+$E$7*((1+'Cálculos'!$J$4)^(B22*12)-1)/'Cálculos'!$J$4))</f>
        <v/>
      </c>
      <c r="E22" s="54" t="str">
        <f t="shared" si="2"/>
        <v/>
      </c>
      <c r="F22" s="1"/>
      <c r="G22" s="1"/>
      <c r="H22" s="1"/>
      <c r="I22" s="1"/>
      <c r="J22" s="1"/>
      <c r="K22" s="1"/>
      <c r="L22" s="1"/>
      <c r="M22" s="1"/>
      <c r="N22" s="1"/>
    </row>
    <row r="23" ht="24.75" customHeight="1">
      <c r="A23" s="1"/>
      <c r="B23" s="1">
        <v>7.0</v>
      </c>
      <c r="C23" s="54" t="str">
        <f t="shared" si="1"/>
        <v/>
      </c>
      <c r="D23" s="54" t="str">
        <f>IF(COUNT(C23)=0,"",IF('Cálculos'!$J$4=0,C23,$E$6*(1+'Cálculos'!$J$4)^(B23*12)+$E$7*((1+'Cálculos'!$J$4)^(B23*12)-1)/'Cálculos'!$J$4))</f>
        <v/>
      </c>
      <c r="E23" s="54" t="str">
        <f t="shared" si="2"/>
        <v/>
      </c>
      <c r="F23" s="1"/>
      <c r="G23" s="1"/>
      <c r="H23" s="1"/>
      <c r="I23" s="1"/>
      <c r="J23" s="1"/>
      <c r="K23" s="1"/>
      <c r="L23" s="1"/>
      <c r="M23" s="1"/>
      <c r="N23" s="1"/>
    </row>
    <row r="24" ht="24.75" customHeight="1">
      <c r="A24" s="1"/>
      <c r="B24" s="1">
        <v>8.0</v>
      </c>
      <c r="C24" s="54" t="str">
        <f t="shared" si="1"/>
        <v/>
      </c>
      <c r="D24" s="54" t="str">
        <f>IF(COUNT(C24)=0,"",IF('Cálculos'!$J$4=0,C24,$E$6*(1+'Cálculos'!$J$4)^(B24*12)+$E$7*((1+'Cálculos'!$J$4)^(B24*12)-1)/'Cálculos'!$J$4))</f>
        <v/>
      </c>
      <c r="E24" s="54" t="str">
        <f t="shared" si="2"/>
        <v/>
      </c>
      <c r="F24" s="1"/>
      <c r="G24" s="1"/>
      <c r="H24" s="1"/>
      <c r="I24" s="1"/>
      <c r="J24" s="1"/>
      <c r="K24" s="1"/>
      <c r="L24" s="1"/>
      <c r="M24" s="1"/>
      <c r="N24" s="1"/>
    </row>
    <row r="25" ht="24.75" customHeight="1">
      <c r="A25" s="1"/>
      <c r="B25" s="1">
        <v>9.0</v>
      </c>
      <c r="C25" s="54" t="str">
        <f t="shared" si="1"/>
        <v/>
      </c>
      <c r="D25" s="54" t="str">
        <f>IF(COUNT(C25)=0,"",IF('Cálculos'!$J$4=0,C25,$E$6*(1+'Cálculos'!$J$4)^(B25*12)+$E$7*((1+'Cálculos'!$J$4)^(B25*12)-1)/'Cálculos'!$J$4))</f>
        <v/>
      </c>
      <c r="E25" s="54" t="str">
        <f t="shared" si="2"/>
        <v/>
      </c>
      <c r="F25" s="1"/>
      <c r="G25" s="1"/>
      <c r="H25" s="1"/>
      <c r="I25" s="1"/>
      <c r="J25" s="1"/>
      <c r="K25" s="1"/>
      <c r="L25" s="1"/>
      <c r="M25" s="1"/>
      <c r="N25" s="1"/>
    </row>
    <row r="26" ht="24.75" customHeight="1">
      <c r="A26" s="1"/>
      <c r="B26" s="1">
        <v>10.0</v>
      </c>
      <c r="C26" s="54" t="str">
        <f t="shared" si="1"/>
        <v/>
      </c>
      <c r="D26" s="54" t="str">
        <f>IF(COUNT(C26)=0,"",IF('Cálculos'!$J$4=0,C26,$E$6*(1+'Cálculos'!$J$4)^(B26*12)+$E$7*((1+'Cálculos'!$J$4)^(B26*12)-1)/'Cálculos'!$J$4))</f>
        <v/>
      </c>
      <c r="E26" s="54" t="str">
        <f t="shared" si="2"/>
        <v/>
      </c>
      <c r="F26" s="1"/>
      <c r="G26" s="1"/>
      <c r="H26" s="1"/>
      <c r="I26" s="1"/>
      <c r="J26" s="1"/>
      <c r="K26" s="1"/>
      <c r="L26" s="1"/>
      <c r="M26" s="1"/>
      <c r="N26" s="1"/>
    </row>
    <row r="27" ht="24.75" customHeight="1">
      <c r="A27" s="1"/>
      <c r="B27" s="1">
        <v>11.0</v>
      </c>
      <c r="C27" s="54" t="str">
        <f t="shared" si="1"/>
        <v/>
      </c>
      <c r="D27" s="54" t="str">
        <f>IF(COUNT(C27)=0,"",IF('Cálculos'!$J$4=0,C27,$E$6*(1+'Cálculos'!$J$4)^(B27*12)+$E$7*((1+'Cálculos'!$J$4)^(B27*12)-1)/'Cálculos'!$J$4))</f>
        <v/>
      </c>
      <c r="E27" s="54" t="str">
        <f t="shared" si="2"/>
        <v/>
      </c>
      <c r="F27" s="1"/>
      <c r="G27" s="1"/>
      <c r="H27" s="1"/>
      <c r="I27" s="1"/>
      <c r="J27" s="1"/>
      <c r="K27" s="1"/>
      <c r="L27" s="1"/>
      <c r="M27" s="1"/>
      <c r="N27" s="1"/>
    </row>
    <row r="28" ht="24.75" customHeight="1">
      <c r="A28" s="1"/>
      <c r="B28" s="1">
        <v>12.0</v>
      </c>
      <c r="C28" s="54" t="str">
        <f t="shared" si="1"/>
        <v/>
      </c>
      <c r="D28" s="54" t="str">
        <f>IF(COUNT(C28)=0,"",IF('Cálculos'!$J$4=0,C28,$E$6*(1+'Cálculos'!$J$4)^(B28*12)+$E$7*((1+'Cálculos'!$J$4)^(B28*12)-1)/'Cálculos'!$J$4))</f>
        <v/>
      </c>
      <c r="E28" s="54" t="str">
        <f t="shared" si="2"/>
        <v/>
      </c>
      <c r="F28" s="1"/>
      <c r="G28" s="1"/>
      <c r="H28" s="1"/>
      <c r="I28" s="1"/>
      <c r="J28" s="1"/>
      <c r="K28" s="1"/>
      <c r="L28" s="1"/>
      <c r="M28" s="1"/>
      <c r="N28" s="1"/>
    </row>
    <row r="29" ht="24.75" customHeight="1">
      <c r="A29" s="1"/>
      <c r="B29" s="1">
        <v>13.0</v>
      </c>
      <c r="C29" s="54" t="str">
        <f t="shared" si="1"/>
        <v/>
      </c>
      <c r="D29" s="54" t="str">
        <f>IF(COUNT(C29)=0,"",IF('Cálculos'!$J$4=0,C29,$E$6*(1+'Cálculos'!$J$4)^(B29*12)+$E$7*((1+'Cálculos'!$J$4)^(B29*12)-1)/'Cálculos'!$J$4))</f>
        <v/>
      </c>
      <c r="E29" s="54" t="str">
        <f t="shared" si="2"/>
        <v/>
      </c>
      <c r="F29" s="1"/>
      <c r="G29" s="1"/>
      <c r="H29" s="1"/>
      <c r="I29" s="1"/>
      <c r="J29" s="1"/>
      <c r="K29" s="1"/>
      <c r="L29" s="1"/>
      <c r="M29" s="1"/>
      <c r="N29" s="1"/>
    </row>
    <row r="30" ht="24.75" customHeight="1">
      <c r="A30" s="1"/>
      <c r="B30" s="1">
        <v>14.0</v>
      </c>
      <c r="C30" s="54" t="str">
        <f t="shared" si="1"/>
        <v/>
      </c>
      <c r="D30" s="54" t="str">
        <f>IF(COUNT(C30)=0,"",IF('Cálculos'!$J$4=0,C30,$E$6*(1+'Cálculos'!$J$4)^(B30*12)+$E$7*((1+'Cálculos'!$J$4)^(B30*12)-1)/'Cálculos'!$J$4))</f>
        <v/>
      </c>
      <c r="E30" s="54" t="str">
        <f t="shared" si="2"/>
        <v/>
      </c>
      <c r="F30" s="1"/>
      <c r="G30" s="1"/>
      <c r="H30" s="1"/>
      <c r="I30" s="1"/>
      <c r="J30" s="1"/>
      <c r="K30" s="1"/>
      <c r="L30" s="1"/>
      <c r="M30" s="1"/>
      <c r="N30" s="1"/>
    </row>
    <row r="31" ht="24.75" customHeight="1">
      <c r="A31" s="1"/>
      <c r="B31" s="1">
        <v>15.0</v>
      </c>
      <c r="C31" s="54" t="str">
        <f t="shared" si="1"/>
        <v/>
      </c>
      <c r="D31" s="54" t="str">
        <f>IF(COUNT(C31)=0,"",IF('Cálculos'!$J$4=0,C31,$E$6*(1+'Cálculos'!$J$4)^(B31*12)+$E$7*((1+'Cálculos'!$J$4)^(B31*12)-1)/'Cálculos'!$J$4))</f>
        <v/>
      </c>
      <c r="E31" s="54" t="str">
        <f t="shared" si="2"/>
        <v/>
      </c>
      <c r="F31" s="1"/>
      <c r="G31" s="1"/>
      <c r="H31" s="1"/>
      <c r="I31" s="1"/>
      <c r="J31" s="1"/>
      <c r="K31" s="1"/>
      <c r="L31" s="1"/>
      <c r="M31" s="1"/>
      <c r="N31" s="1"/>
    </row>
    <row r="32" ht="24.75" customHeight="1">
      <c r="A32" s="1"/>
      <c r="B32" s="1">
        <v>16.0</v>
      </c>
      <c r="C32" s="54" t="str">
        <f t="shared" si="1"/>
        <v/>
      </c>
      <c r="D32" s="54" t="str">
        <f>IF(COUNT(C32)=0,"",IF('Cálculos'!$J$4=0,C32,$E$6*(1+'Cálculos'!$J$4)^(B32*12)+$E$7*((1+'Cálculos'!$J$4)^(B32*12)-1)/'Cálculos'!$J$4))</f>
        <v/>
      </c>
      <c r="E32" s="54" t="str">
        <f t="shared" si="2"/>
        <v/>
      </c>
      <c r="F32" s="1"/>
      <c r="G32" s="1"/>
      <c r="H32" s="1"/>
      <c r="I32" s="1"/>
      <c r="J32" s="1"/>
      <c r="K32" s="1"/>
      <c r="L32" s="1"/>
      <c r="M32" s="1"/>
      <c r="N32" s="1"/>
    </row>
    <row r="33" ht="24.75" customHeight="1">
      <c r="A33" s="1"/>
      <c r="B33" s="1">
        <v>17.0</v>
      </c>
      <c r="C33" s="54" t="str">
        <f t="shared" si="1"/>
        <v/>
      </c>
      <c r="D33" s="54" t="str">
        <f>IF(COUNT(C33)=0,"",IF('Cálculos'!$J$4=0,C33,$E$6*(1+'Cálculos'!$J$4)^(B33*12)+$E$7*((1+'Cálculos'!$J$4)^(B33*12)-1)/'Cálculos'!$J$4))</f>
        <v/>
      </c>
      <c r="E33" s="54" t="str">
        <f t="shared" si="2"/>
        <v/>
      </c>
      <c r="F33" s="1"/>
      <c r="G33" s="1"/>
      <c r="H33" s="1"/>
      <c r="I33" s="1"/>
      <c r="J33" s="1"/>
      <c r="K33" s="1"/>
      <c r="L33" s="1"/>
      <c r="M33" s="1"/>
      <c r="N33" s="1"/>
    </row>
    <row r="34" ht="24.75" customHeight="1">
      <c r="A34" s="1"/>
      <c r="B34" s="1">
        <v>18.0</v>
      </c>
      <c r="C34" s="54" t="str">
        <f t="shared" si="1"/>
        <v/>
      </c>
      <c r="D34" s="54" t="str">
        <f>IF(COUNT(C34)=0,"",IF('Cálculos'!$J$4=0,C34,$E$6*(1+'Cálculos'!$J$4)^(B34*12)+$E$7*((1+'Cálculos'!$J$4)^(B34*12)-1)/'Cálculos'!$J$4))</f>
        <v/>
      </c>
      <c r="E34" s="54" t="str">
        <f t="shared" si="2"/>
        <v/>
      </c>
      <c r="F34" s="1"/>
      <c r="G34" s="1"/>
      <c r="H34" s="1"/>
      <c r="I34" s="1"/>
      <c r="J34" s="1"/>
      <c r="K34" s="1"/>
      <c r="L34" s="1"/>
      <c r="M34" s="1"/>
      <c r="N34" s="1"/>
    </row>
    <row r="35" ht="24.75" customHeight="1">
      <c r="A35" s="1"/>
      <c r="B35" s="1">
        <v>19.0</v>
      </c>
      <c r="C35" s="54" t="str">
        <f t="shared" si="1"/>
        <v/>
      </c>
      <c r="D35" s="54" t="str">
        <f>IF(COUNT(C35)=0,"",IF('Cálculos'!$J$4=0,C35,$E$6*(1+'Cálculos'!$J$4)^(B35*12)+$E$7*((1+'Cálculos'!$J$4)^(B35*12)-1)/'Cálculos'!$J$4))</f>
        <v/>
      </c>
      <c r="E35" s="54" t="str">
        <f t="shared" si="2"/>
        <v/>
      </c>
      <c r="F35" s="1"/>
      <c r="G35" s="1"/>
      <c r="H35" s="1"/>
      <c r="I35" s="1"/>
      <c r="J35" s="1"/>
      <c r="K35" s="1"/>
      <c r="L35" s="1"/>
      <c r="M35" s="1"/>
      <c r="N35" s="1"/>
    </row>
    <row r="36" ht="24.75" customHeight="1">
      <c r="A36" s="1"/>
      <c r="B36" s="1">
        <v>20.0</v>
      </c>
      <c r="C36" s="54" t="str">
        <f t="shared" si="1"/>
        <v/>
      </c>
      <c r="D36" s="54" t="str">
        <f>IF(COUNT(C36)=0,"",IF('Cálculos'!$J$4=0,C36,$E$6*(1+'Cálculos'!$J$4)^(B36*12)+$E$7*((1+'Cálculos'!$J$4)^(B36*12)-1)/'Cálculos'!$J$4))</f>
        <v/>
      </c>
      <c r="E36" s="54" t="str">
        <f t="shared" si="2"/>
        <v/>
      </c>
      <c r="F36" s="1"/>
      <c r="G36" s="1"/>
      <c r="H36" s="1"/>
      <c r="I36" s="1"/>
      <c r="J36" s="1"/>
      <c r="K36" s="1"/>
      <c r="L36" s="1"/>
      <c r="M36" s="1"/>
      <c r="N36" s="1"/>
    </row>
    <row r="37" ht="24.75" customHeight="1">
      <c r="A37" s="1"/>
      <c r="B37" s="1">
        <v>21.0</v>
      </c>
      <c r="C37" s="54" t="str">
        <f t="shared" si="1"/>
        <v/>
      </c>
      <c r="D37" s="54" t="str">
        <f>IF(COUNT(C37)=0,"",IF('Cálculos'!$J$4=0,C37,$E$6*(1+'Cálculos'!$J$4)^(B37*12)+$E$7*((1+'Cálculos'!$J$4)^(B37*12)-1)/'Cálculos'!$J$4))</f>
        <v/>
      </c>
      <c r="E37" s="54" t="str">
        <f t="shared" si="2"/>
        <v/>
      </c>
      <c r="F37" s="1"/>
      <c r="G37" s="1"/>
      <c r="H37" s="1"/>
      <c r="I37" s="1"/>
      <c r="J37" s="1"/>
      <c r="K37" s="1"/>
      <c r="L37" s="1"/>
      <c r="M37" s="1"/>
      <c r="N37" s="1"/>
    </row>
    <row r="38" ht="24.75" customHeight="1">
      <c r="A38" s="1"/>
      <c r="B38" s="1">
        <v>22.0</v>
      </c>
      <c r="C38" s="54" t="str">
        <f t="shared" si="1"/>
        <v/>
      </c>
      <c r="D38" s="54" t="str">
        <f>IF(COUNT(C38)=0,"",IF('Cálculos'!$J$4=0,C38,$E$6*(1+'Cálculos'!$J$4)^(B38*12)+$E$7*((1+'Cálculos'!$J$4)^(B38*12)-1)/'Cálculos'!$J$4))</f>
        <v/>
      </c>
      <c r="E38" s="54" t="str">
        <f t="shared" si="2"/>
        <v/>
      </c>
      <c r="F38" s="1"/>
      <c r="G38" s="1"/>
      <c r="H38" s="1"/>
      <c r="I38" s="1"/>
      <c r="J38" s="1"/>
      <c r="K38" s="1"/>
      <c r="L38" s="1"/>
      <c r="M38" s="1"/>
      <c r="N38" s="1"/>
    </row>
    <row r="39" ht="24.75" customHeight="1">
      <c r="A39" s="1"/>
      <c r="B39" s="1">
        <v>23.0</v>
      </c>
      <c r="C39" s="54" t="str">
        <f t="shared" si="1"/>
        <v/>
      </c>
      <c r="D39" s="54" t="str">
        <f>IF(COUNT(C39)=0,"",IF('Cálculos'!$J$4=0,C39,$E$6*(1+'Cálculos'!$J$4)^(B39*12)+$E$7*((1+'Cálculos'!$J$4)^(B39*12)-1)/'Cálculos'!$J$4))</f>
        <v/>
      </c>
      <c r="E39" s="54" t="str">
        <f t="shared" si="2"/>
        <v/>
      </c>
      <c r="F39" s="1"/>
      <c r="G39" s="1"/>
      <c r="H39" s="1"/>
      <c r="I39" s="1"/>
      <c r="J39" s="1"/>
      <c r="K39" s="1"/>
      <c r="L39" s="1"/>
      <c r="M39" s="1"/>
      <c r="N39" s="1"/>
    </row>
    <row r="40" ht="24.75" customHeight="1">
      <c r="A40" s="1"/>
      <c r="B40" s="1">
        <v>24.0</v>
      </c>
      <c r="C40" s="54" t="str">
        <f t="shared" si="1"/>
        <v/>
      </c>
      <c r="D40" s="54" t="str">
        <f>IF(COUNT(C40)=0,"",IF('Cálculos'!$J$4=0,C40,$E$6*(1+'Cálculos'!$J$4)^(B40*12)+$E$7*((1+'Cálculos'!$J$4)^(B40*12)-1)/'Cálculos'!$J$4))</f>
        <v/>
      </c>
      <c r="E40" s="54" t="str">
        <f t="shared" si="2"/>
        <v/>
      </c>
      <c r="F40" s="1"/>
      <c r="G40" s="1"/>
      <c r="H40" s="1"/>
      <c r="I40" s="1"/>
      <c r="J40" s="1"/>
      <c r="K40" s="1"/>
      <c r="L40" s="1"/>
      <c r="M40" s="1"/>
      <c r="N40" s="1"/>
    </row>
    <row r="41" ht="24.75" customHeight="1">
      <c r="A41" s="1"/>
      <c r="B41" s="1">
        <v>25.0</v>
      </c>
      <c r="C41" s="54" t="str">
        <f t="shared" si="1"/>
        <v/>
      </c>
      <c r="D41" s="54" t="str">
        <f>IF(COUNT(C41)=0,"",IF('Cálculos'!$J$4=0,C41,$E$6*(1+'Cálculos'!$J$4)^(B41*12)+$E$7*((1+'Cálculos'!$J$4)^(B41*12)-1)/'Cálculos'!$J$4))</f>
        <v/>
      </c>
      <c r="E41" s="54" t="str">
        <f t="shared" si="2"/>
        <v/>
      </c>
      <c r="F41" s="1"/>
      <c r="G41" s="1"/>
      <c r="H41" s="1"/>
      <c r="I41" s="1"/>
      <c r="J41" s="1"/>
      <c r="K41" s="1"/>
      <c r="L41" s="1"/>
      <c r="M41" s="1"/>
      <c r="N41" s="1"/>
    </row>
    <row r="42" ht="24.75" customHeight="1">
      <c r="A42" s="1"/>
      <c r="B42" s="1">
        <v>26.0</v>
      </c>
      <c r="C42" s="54" t="str">
        <f t="shared" si="1"/>
        <v/>
      </c>
      <c r="D42" s="54" t="str">
        <f>IF(COUNT(C42)=0,"",IF('Cálculos'!$J$4=0,C42,$E$6*(1+'Cálculos'!$J$4)^(B42*12)+$E$7*((1+'Cálculos'!$J$4)^(B42*12)-1)/'Cálculos'!$J$4))</f>
        <v/>
      </c>
      <c r="E42" s="54" t="str">
        <f t="shared" si="2"/>
        <v/>
      </c>
      <c r="F42" s="1"/>
      <c r="G42" s="1"/>
      <c r="H42" s="1"/>
      <c r="I42" s="1"/>
      <c r="J42" s="1"/>
      <c r="K42" s="1"/>
      <c r="L42" s="1"/>
      <c r="M42" s="1"/>
      <c r="N42" s="1"/>
    </row>
    <row r="43" ht="24.75" customHeight="1">
      <c r="A43" s="1"/>
      <c r="B43" s="1">
        <v>27.0</v>
      </c>
      <c r="C43" s="54" t="str">
        <f t="shared" si="1"/>
        <v/>
      </c>
      <c r="D43" s="54" t="str">
        <f>IF(COUNT(C43)=0,"",IF('Cálculos'!$J$4=0,C43,$E$6*(1+'Cálculos'!$J$4)^(B43*12)+$E$7*((1+'Cálculos'!$J$4)^(B43*12)-1)/'Cálculos'!$J$4))</f>
        <v/>
      </c>
      <c r="E43" s="54" t="str">
        <f t="shared" si="2"/>
        <v/>
      </c>
      <c r="F43" s="1"/>
      <c r="G43" s="1"/>
      <c r="H43" s="1"/>
      <c r="I43" s="1"/>
      <c r="J43" s="1"/>
      <c r="K43" s="1"/>
      <c r="L43" s="1"/>
      <c r="M43" s="1"/>
      <c r="N43" s="1"/>
    </row>
    <row r="44" ht="24.75" customHeight="1">
      <c r="A44" s="1"/>
      <c r="B44" s="1">
        <v>28.0</v>
      </c>
      <c r="C44" s="54" t="str">
        <f t="shared" si="1"/>
        <v/>
      </c>
      <c r="D44" s="54" t="str">
        <f>IF(COUNT(C44)=0,"",IF('Cálculos'!$J$4=0,C44,$E$6*(1+'Cálculos'!$J$4)^(B44*12)+$E$7*((1+'Cálculos'!$J$4)^(B44*12)-1)/'Cálculos'!$J$4))</f>
        <v/>
      </c>
      <c r="E44" s="54" t="str">
        <f t="shared" si="2"/>
        <v/>
      </c>
      <c r="F44" s="1"/>
      <c r="G44" s="1"/>
      <c r="H44" s="1"/>
      <c r="I44" s="1"/>
      <c r="J44" s="1"/>
      <c r="K44" s="1"/>
      <c r="L44" s="1"/>
      <c r="M44" s="1"/>
      <c r="N44" s="1"/>
    </row>
    <row r="45" ht="24.75" customHeight="1">
      <c r="A45" s="1"/>
      <c r="B45" s="1">
        <v>29.0</v>
      </c>
      <c r="C45" s="54" t="str">
        <f t="shared" si="1"/>
        <v/>
      </c>
      <c r="D45" s="54" t="str">
        <f>IF(COUNT(C45)=0,"",IF('Cálculos'!$J$4=0,C45,$E$6*(1+'Cálculos'!$J$4)^(B45*12)+$E$7*((1+'Cálculos'!$J$4)^(B45*12)-1)/'Cálculos'!$J$4))</f>
        <v/>
      </c>
      <c r="E45" s="54" t="str">
        <f t="shared" si="2"/>
        <v/>
      </c>
      <c r="F45" s="1"/>
      <c r="G45" s="1"/>
      <c r="H45" s="1"/>
      <c r="I45" s="1"/>
      <c r="J45" s="1"/>
      <c r="K45" s="1"/>
      <c r="L45" s="1"/>
      <c r="M45" s="1"/>
      <c r="N45" s="1"/>
    </row>
    <row r="46" ht="24.75" customHeight="1">
      <c r="A46" s="1"/>
      <c r="B46" s="1">
        <v>30.0</v>
      </c>
      <c r="C46" s="54" t="str">
        <f t="shared" si="1"/>
        <v/>
      </c>
      <c r="D46" s="54" t="str">
        <f>IF(COUNT(C46)=0,"",IF('Cálculos'!$J$4=0,C46,$E$6*(1+'Cálculos'!$J$4)^(B46*12)+$E$7*((1+'Cálculos'!$J$4)^(B46*12)-1)/'Cálculos'!$J$4))</f>
        <v/>
      </c>
      <c r="E46" s="54" t="str">
        <f t="shared" si="2"/>
        <v/>
      </c>
      <c r="F46" s="1"/>
      <c r="G46" s="1"/>
      <c r="H46" s="1"/>
      <c r="I46" s="1"/>
      <c r="J46" s="1"/>
      <c r="K46" s="1"/>
      <c r="L46" s="1"/>
      <c r="M46" s="1"/>
      <c r="N46" s="1"/>
    </row>
    <row r="47" ht="24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ht="24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ht="24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ht="24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ht="24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ht="24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ht="24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ht="24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ht="24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H7:I7"/>
    <mergeCell ref="H8:I8"/>
    <mergeCell ref="E9:F9"/>
    <mergeCell ref="H9:I9"/>
    <mergeCell ref="J9:M9"/>
    <mergeCell ref="E10:F10"/>
    <mergeCell ref="B2:N2"/>
    <mergeCell ref="E6:F6"/>
    <mergeCell ref="H6:I6"/>
    <mergeCell ref="J6:M6"/>
    <mergeCell ref="E7:F7"/>
    <mergeCell ref="J7:M7"/>
    <mergeCell ref="E8:F8"/>
    <mergeCell ref="J8:M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4252"/>
    <pageSetUpPr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27.0"/>
    <col customWidth="1" min="3" max="4" width="20.0"/>
    <col customWidth="1" min="5" max="6" width="16.0"/>
    <col customWidth="1" min="7" max="14" width="13.0"/>
  </cols>
  <sheetData>
    <row r="1" ht="24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75" customHeight="1">
      <c r="A2" s="1"/>
      <c r="B2" s="2" t="s">
        <v>78</v>
      </c>
    </row>
    <row r="3" ht="24.75" customHeight="1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24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24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ht="31.5" customHeight="1">
      <c r="A6" s="1"/>
      <c r="B6" s="1" t="s">
        <v>79</v>
      </c>
      <c r="C6" s="1"/>
      <c r="D6" s="1"/>
      <c r="E6" s="48"/>
      <c r="G6" s="1"/>
      <c r="H6" s="49" t="s">
        <v>80</v>
      </c>
      <c r="J6" s="50" t="str">
        <f>IF(COUNT(E6:E10)&lt;5,"",E6-E7)</f>
        <v/>
      </c>
      <c r="N6" s="1"/>
    </row>
    <row r="7" ht="31.5" customHeight="1">
      <c r="A7" s="1"/>
      <c r="B7" s="1" t="s">
        <v>81</v>
      </c>
      <c r="C7" s="1"/>
      <c r="D7" s="1"/>
      <c r="E7" s="48"/>
      <c r="G7" s="1"/>
      <c r="H7" s="49" t="s">
        <v>82</v>
      </c>
      <c r="J7" s="50" t="str">
        <f>IF(COUNT(J6)=0,"",IF(E9=0,J6/(E8*12),-PMT(E9/12,E8*12,J6)))</f>
        <v/>
      </c>
      <c r="N7" s="1"/>
    </row>
    <row r="8" ht="31.5" customHeight="1">
      <c r="A8" s="1"/>
      <c r="B8" s="1" t="s">
        <v>83</v>
      </c>
      <c r="C8" s="1"/>
      <c r="D8" s="1"/>
      <c r="E8" s="52"/>
      <c r="G8" s="1"/>
      <c r="H8" s="49" t="s">
        <v>84</v>
      </c>
      <c r="J8" s="50" t="str">
        <f>IF(COUNT(J7)=0,"",J7*E8*12-J6)</f>
        <v/>
      </c>
      <c r="N8" s="1"/>
    </row>
    <row r="9" ht="31.5" customHeight="1">
      <c r="A9" s="1"/>
      <c r="B9" s="1" t="s">
        <v>85</v>
      </c>
      <c r="C9" s="1"/>
      <c r="D9" s="1"/>
      <c r="E9" s="51"/>
      <c r="G9" s="1"/>
      <c r="H9" s="49" t="s">
        <v>86</v>
      </c>
      <c r="J9" s="50" t="str">
        <f>IF(COUNT(J7)=0,"",E7+E10)</f>
        <v/>
      </c>
      <c r="N9" s="1"/>
    </row>
    <row r="10" ht="31.5" customHeight="1">
      <c r="A10" s="1"/>
      <c r="B10" s="1" t="s">
        <v>87</v>
      </c>
      <c r="C10" s="1"/>
      <c r="D10" s="1"/>
      <c r="E10" s="48"/>
      <c r="G10" s="1"/>
      <c r="H10" s="1"/>
      <c r="I10" s="1"/>
      <c r="J10" s="1"/>
      <c r="K10" s="1"/>
      <c r="L10" s="1"/>
      <c r="M10" s="1"/>
      <c r="N10" s="1"/>
    </row>
    <row r="11" ht="24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ht="24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ht="24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ht="24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ht="24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ht="43.5" customHeight="1">
      <c r="A16" s="1"/>
      <c r="B16" s="53" t="s">
        <v>21</v>
      </c>
      <c r="C16" s="53" t="s">
        <v>88</v>
      </c>
      <c r="D16" s="53" t="s">
        <v>89</v>
      </c>
      <c r="E16" s="53" t="s">
        <v>90</v>
      </c>
      <c r="F16" s="1"/>
      <c r="G16" s="1"/>
      <c r="H16" s="1"/>
      <c r="I16" s="1"/>
      <c r="J16" s="1"/>
      <c r="K16" s="1"/>
      <c r="L16" s="1"/>
      <c r="M16" s="1"/>
      <c r="N16" s="1"/>
    </row>
    <row r="17" ht="24.75" customHeight="1">
      <c r="A17" s="1"/>
      <c r="B17" s="1">
        <v>1.0</v>
      </c>
      <c r="C17" s="54" t="str">
        <f t="shared" ref="C17:C46" si="1">IF(OR(COUNT($J$6)=0,B17&gt;$E$8),"",MAX(0,IF($E$9=0,$J$6-$J$7*B17*12,$J$6*(1+$E$9/12)^(B17*12)-$J$7*((1+$E$9/12)^(B17*12)-1)/($E$9/12))))</f>
        <v/>
      </c>
      <c r="D17" s="54" t="str">
        <f t="shared" ref="D17:D46" si="2">IF(COUNT(C17)=0,"",$J$6-C17)</f>
        <v/>
      </c>
      <c r="E17" s="54" t="str">
        <f t="shared" ref="E17:E46" si="3">IF(COUNT(C17)=0,"",$J$7*B17*12-D17)</f>
        <v/>
      </c>
      <c r="F17" s="1"/>
      <c r="G17" s="1"/>
      <c r="H17" s="1"/>
      <c r="I17" s="1"/>
      <c r="J17" s="1"/>
      <c r="K17" s="1"/>
      <c r="L17" s="1"/>
      <c r="M17" s="1"/>
      <c r="N17" s="1"/>
    </row>
    <row r="18" ht="24.75" customHeight="1">
      <c r="A18" s="1"/>
      <c r="B18" s="1">
        <v>2.0</v>
      </c>
      <c r="C18" s="54" t="str">
        <f t="shared" si="1"/>
        <v/>
      </c>
      <c r="D18" s="54" t="str">
        <f t="shared" si="2"/>
        <v/>
      </c>
      <c r="E18" s="54" t="str">
        <f t="shared" si="3"/>
        <v/>
      </c>
      <c r="F18" s="1"/>
      <c r="G18" s="1"/>
      <c r="H18" s="1"/>
      <c r="I18" s="1"/>
      <c r="J18" s="1"/>
      <c r="K18" s="1"/>
      <c r="L18" s="1"/>
      <c r="M18" s="1"/>
      <c r="N18" s="1"/>
    </row>
    <row r="19" ht="24.75" customHeight="1">
      <c r="A19" s="1"/>
      <c r="B19" s="1">
        <v>3.0</v>
      </c>
      <c r="C19" s="54" t="str">
        <f t="shared" si="1"/>
        <v/>
      </c>
      <c r="D19" s="54" t="str">
        <f t="shared" si="2"/>
        <v/>
      </c>
      <c r="E19" s="54" t="str">
        <f t="shared" si="3"/>
        <v/>
      </c>
      <c r="F19" s="1"/>
      <c r="G19" s="1"/>
      <c r="H19" s="1"/>
      <c r="I19" s="1"/>
      <c r="J19" s="1"/>
      <c r="K19" s="1"/>
      <c r="L19" s="1"/>
      <c r="M19" s="1"/>
      <c r="N19" s="1"/>
    </row>
    <row r="20" ht="24.75" customHeight="1">
      <c r="A20" s="1"/>
      <c r="B20" s="1">
        <v>4.0</v>
      </c>
      <c r="C20" s="54" t="str">
        <f t="shared" si="1"/>
        <v/>
      </c>
      <c r="D20" s="54" t="str">
        <f t="shared" si="2"/>
        <v/>
      </c>
      <c r="E20" s="54" t="str">
        <f t="shared" si="3"/>
        <v/>
      </c>
      <c r="F20" s="1"/>
      <c r="G20" s="1"/>
      <c r="H20" s="1"/>
      <c r="I20" s="1"/>
      <c r="J20" s="1"/>
      <c r="K20" s="1"/>
      <c r="L20" s="1"/>
      <c r="M20" s="1"/>
      <c r="N20" s="1"/>
    </row>
    <row r="21" ht="24.75" customHeight="1">
      <c r="A21" s="1"/>
      <c r="B21" s="1">
        <v>5.0</v>
      </c>
      <c r="C21" s="54" t="str">
        <f t="shared" si="1"/>
        <v/>
      </c>
      <c r="D21" s="54" t="str">
        <f t="shared" si="2"/>
        <v/>
      </c>
      <c r="E21" s="54" t="str">
        <f t="shared" si="3"/>
        <v/>
      </c>
      <c r="F21" s="1"/>
      <c r="G21" s="1"/>
      <c r="H21" s="1"/>
      <c r="I21" s="1"/>
      <c r="J21" s="1"/>
      <c r="K21" s="1"/>
      <c r="L21" s="1"/>
      <c r="M21" s="1"/>
      <c r="N21" s="1"/>
    </row>
    <row r="22" ht="24.75" customHeight="1">
      <c r="A22" s="1"/>
      <c r="B22" s="1">
        <v>6.0</v>
      </c>
      <c r="C22" s="54" t="str">
        <f t="shared" si="1"/>
        <v/>
      </c>
      <c r="D22" s="54" t="str">
        <f t="shared" si="2"/>
        <v/>
      </c>
      <c r="E22" s="54" t="str">
        <f t="shared" si="3"/>
        <v/>
      </c>
      <c r="F22" s="1"/>
      <c r="G22" s="1"/>
      <c r="H22" s="1"/>
      <c r="I22" s="1"/>
      <c r="J22" s="1"/>
      <c r="K22" s="1"/>
      <c r="L22" s="1"/>
      <c r="M22" s="1"/>
      <c r="N22" s="1"/>
    </row>
    <row r="23" ht="24.75" customHeight="1">
      <c r="A23" s="1"/>
      <c r="B23" s="1">
        <v>7.0</v>
      </c>
      <c r="C23" s="54" t="str">
        <f t="shared" si="1"/>
        <v/>
      </c>
      <c r="D23" s="54" t="str">
        <f t="shared" si="2"/>
        <v/>
      </c>
      <c r="E23" s="54" t="str">
        <f t="shared" si="3"/>
        <v/>
      </c>
      <c r="F23" s="1"/>
      <c r="G23" s="1"/>
      <c r="H23" s="1"/>
      <c r="I23" s="1"/>
      <c r="J23" s="1"/>
      <c r="K23" s="1"/>
      <c r="L23" s="1"/>
      <c r="M23" s="1"/>
      <c r="N23" s="1"/>
    </row>
    <row r="24" ht="24.75" customHeight="1">
      <c r="A24" s="1"/>
      <c r="B24" s="1">
        <v>8.0</v>
      </c>
      <c r="C24" s="54" t="str">
        <f t="shared" si="1"/>
        <v/>
      </c>
      <c r="D24" s="54" t="str">
        <f t="shared" si="2"/>
        <v/>
      </c>
      <c r="E24" s="54" t="str">
        <f t="shared" si="3"/>
        <v/>
      </c>
      <c r="F24" s="1"/>
      <c r="G24" s="1"/>
      <c r="H24" s="1"/>
      <c r="I24" s="1"/>
      <c r="J24" s="1"/>
      <c r="K24" s="1"/>
      <c r="L24" s="1"/>
      <c r="M24" s="1"/>
      <c r="N24" s="1"/>
    </row>
    <row r="25" ht="24.75" customHeight="1">
      <c r="A25" s="1"/>
      <c r="B25" s="1">
        <v>9.0</v>
      </c>
      <c r="C25" s="54" t="str">
        <f t="shared" si="1"/>
        <v/>
      </c>
      <c r="D25" s="54" t="str">
        <f t="shared" si="2"/>
        <v/>
      </c>
      <c r="E25" s="54" t="str">
        <f t="shared" si="3"/>
        <v/>
      </c>
      <c r="F25" s="1"/>
      <c r="G25" s="1"/>
      <c r="H25" s="1"/>
      <c r="I25" s="1"/>
      <c r="J25" s="1"/>
      <c r="K25" s="1"/>
      <c r="L25" s="1"/>
      <c r="M25" s="1"/>
      <c r="N25" s="1"/>
    </row>
    <row r="26" ht="24.75" customHeight="1">
      <c r="A26" s="1"/>
      <c r="B26" s="1">
        <v>10.0</v>
      </c>
      <c r="C26" s="54" t="str">
        <f t="shared" si="1"/>
        <v/>
      </c>
      <c r="D26" s="54" t="str">
        <f t="shared" si="2"/>
        <v/>
      </c>
      <c r="E26" s="54" t="str">
        <f t="shared" si="3"/>
        <v/>
      </c>
      <c r="F26" s="1"/>
      <c r="G26" s="1"/>
      <c r="H26" s="1"/>
      <c r="I26" s="1"/>
      <c r="J26" s="1"/>
      <c r="K26" s="1"/>
      <c r="L26" s="1"/>
      <c r="M26" s="1"/>
      <c r="N26" s="1"/>
    </row>
    <row r="27" ht="24.75" customHeight="1">
      <c r="A27" s="1"/>
      <c r="B27" s="1">
        <v>11.0</v>
      </c>
      <c r="C27" s="54" t="str">
        <f t="shared" si="1"/>
        <v/>
      </c>
      <c r="D27" s="54" t="str">
        <f t="shared" si="2"/>
        <v/>
      </c>
      <c r="E27" s="54" t="str">
        <f t="shared" si="3"/>
        <v/>
      </c>
      <c r="F27" s="1"/>
      <c r="G27" s="1"/>
      <c r="H27" s="1"/>
      <c r="I27" s="1"/>
      <c r="J27" s="1"/>
      <c r="K27" s="1"/>
      <c r="L27" s="1"/>
      <c r="M27" s="1"/>
      <c r="N27" s="1"/>
    </row>
    <row r="28" ht="24.75" customHeight="1">
      <c r="A28" s="1"/>
      <c r="B28" s="1">
        <v>12.0</v>
      </c>
      <c r="C28" s="54" t="str">
        <f t="shared" si="1"/>
        <v/>
      </c>
      <c r="D28" s="54" t="str">
        <f t="shared" si="2"/>
        <v/>
      </c>
      <c r="E28" s="54" t="str">
        <f t="shared" si="3"/>
        <v/>
      </c>
      <c r="F28" s="1"/>
      <c r="G28" s="1"/>
      <c r="H28" s="1"/>
      <c r="I28" s="1"/>
      <c r="J28" s="1"/>
      <c r="K28" s="1"/>
      <c r="L28" s="1"/>
      <c r="M28" s="1"/>
      <c r="N28" s="1"/>
    </row>
    <row r="29" ht="24.75" customHeight="1">
      <c r="A29" s="1"/>
      <c r="B29" s="1">
        <v>13.0</v>
      </c>
      <c r="C29" s="54" t="str">
        <f t="shared" si="1"/>
        <v/>
      </c>
      <c r="D29" s="54" t="str">
        <f t="shared" si="2"/>
        <v/>
      </c>
      <c r="E29" s="54" t="str">
        <f t="shared" si="3"/>
        <v/>
      </c>
      <c r="F29" s="1"/>
      <c r="G29" s="1"/>
      <c r="H29" s="1"/>
      <c r="I29" s="1"/>
      <c r="J29" s="1"/>
      <c r="K29" s="1"/>
      <c r="L29" s="1"/>
      <c r="M29" s="1"/>
      <c r="N29" s="1"/>
    </row>
    <row r="30" ht="24.75" customHeight="1">
      <c r="A30" s="1"/>
      <c r="B30" s="1">
        <v>14.0</v>
      </c>
      <c r="C30" s="54" t="str">
        <f t="shared" si="1"/>
        <v/>
      </c>
      <c r="D30" s="54" t="str">
        <f t="shared" si="2"/>
        <v/>
      </c>
      <c r="E30" s="54" t="str">
        <f t="shared" si="3"/>
        <v/>
      </c>
      <c r="F30" s="1"/>
      <c r="G30" s="1"/>
      <c r="H30" s="1"/>
      <c r="I30" s="1"/>
      <c r="J30" s="1"/>
      <c r="K30" s="1"/>
      <c r="L30" s="1"/>
      <c r="M30" s="1"/>
      <c r="N30" s="1"/>
    </row>
    <row r="31" ht="24.75" customHeight="1">
      <c r="A31" s="1"/>
      <c r="B31" s="1">
        <v>15.0</v>
      </c>
      <c r="C31" s="54" t="str">
        <f t="shared" si="1"/>
        <v/>
      </c>
      <c r="D31" s="54" t="str">
        <f t="shared" si="2"/>
        <v/>
      </c>
      <c r="E31" s="54" t="str">
        <f t="shared" si="3"/>
        <v/>
      </c>
      <c r="F31" s="1"/>
      <c r="G31" s="1"/>
      <c r="H31" s="1"/>
      <c r="I31" s="1"/>
      <c r="J31" s="1"/>
      <c r="K31" s="1"/>
      <c r="L31" s="1"/>
      <c r="M31" s="1"/>
      <c r="N31" s="1"/>
    </row>
    <row r="32" ht="24.75" customHeight="1">
      <c r="A32" s="1"/>
      <c r="B32" s="1">
        <v>16.0</v>
      </c>
      <c r="C32" s="54" t="str">
        <f t="shared" si="1"/>
        <v/>
      </c>
      <c r="D32" s="54" t="str">
        <f t="shared" si="2"/>
        <v/>
      </c>
      <c r="E32" s="54" t="str">
        <f t="shared" si="3"/>
        <v/>
      </c>
      <c r="F32" s="1"/>
      <c r="G32" s="1"/>
      <c r="H32" s="1"/>
      <c r="I32" s="1"/>
      <c r="J32" s="1"/>
      <c r="K32" s="1"/>
      <c r="L32" s="1"/>
      <c r="M32" s="1"/>
      <c r="N32" s="1"/>
    </row>
    <row r="33" ht="24.75" customHeight="1">
      <c r="A33" s="1"/>
      <c r="B33" s="1">
        <v>17.0</v>
      </c>
      <c r="C33" s="54" t="str">
        <f t="shared" si="1"/>
        <v/>
      </c>
      <c r="D33" s="54" t="str">
        <f t="shared" si="2"/>
        <v/>
      </c>
      <c r="E33" s="54" t="str">
        <f t="shared" si="3"/>
        <v/>
      </c>
      <c r="F33" s="1"/>
      <c r="G33" s="1"/>
      <c r="H33" s="1"/>
      <c r="I33" s="1"/>
      <c r="J33" s="1"/>
      <c r="K33" s="1"/>
      <c r="L33" s="1"/>
      <c r="M33" s="1"/>
      <c r="N33" s="1"/>
    </row>
    <row r="34" ht="24.75" customHeight="1">
      <c r="A34" s="1"/>
      <c r="B34" s="1">
        <v>18.0</v>
      </c>
      <c r="C34" s="54" t="str">
        <f t="shared" si="1"/>
        <v/>
      </c>
      <c r="D34" s="54" t="str">
        <f t="shared" si="2"/>
        <v/>
      </c>
      <c r="E34" s="54" t="str">
        <f t="shared" si="3"/>
        <v/>
      </c>
      <c r="F34" s="1"/>
      <c r="G34" s="1"/>
      <c r="H34" s="1"/>
      <c r="I34" s="1"/>
      <c r="J34" s="1"/>
      <c r="K34" s="1"/>
      <c r="L34" s="1"/>
      <c r="M34" s="1"/>
      <c r="N34" s="1"/>
    </row>
    <row r="35" ht="24.75" customHeight="1">
      <c r="A35" s="1"/>
      <c r="B35" s="1">
        <v>19.0</v>
      </c>
      <c r="C35" s="54" t="str">
        <f t="shared" si="1"/>
        <v/>
      </c>
      <c r="D35" s="54" t="str">
        <f t="shared" si="2"/>
        <v/>
      </c>
      <c r="E35" s="54" t="str">
        <f t="shared" si="3"/>
        <v/>
      </c>
      <c r="F35" s="1"/>
      <c r="G35" s="1"/>
      <c r="H35" s="1"/>
      <c r="I35" s="1"/>
      <c r="J35" s="1"/>
      <c r="K35" s="1"/>
      <c r="L35" s="1"/>
      <c r="M35" s="1"/>
      <c r="N35" s="1"/>
    </row>
    <row r="36" ht="24.75" customHeight="1">
      <c r="A36" s="1"/>
      <c r="B36" s="1">
        <v>20.0</v>
      </c>
      <c r="C36" s="54" t="str">
        <f t="shared" si="1"/>
        <v/>
      </c>
      <c r="D36" s="54" t="str">
        <f t="shared" si="2"/>
        <v/>
      </c>
      <c r="E36" s="54" t="str">
        <f t="shared" si="3"/>
        <v/>
      </c>
      <c r="F36" s="1"/>
      <c r="G36" s="1"/>
      <c r="H36" s="1"/>
      <c r="I36" s="1"/>
      <c r="J36" s="1"/>
      <c r="K36" s="1"/>
      <c r="L36" s="1"/>
      <c r="M36" s="1"/>
      <c r="N36" s="1"/>
    </row>
    <row r="37" ht="24.75" customHeight="1">
      <c r="A37" s="1"/>
      <c r="B37" s="1">
        <v>21.0</v>
      </c>
      <c r="C37" s="54" t="str">
        <f t="shared" si="1"/>
        <v/>
      </c>
      <c r="D37" s="54" t="str">
        <f t="shared" si="2"/>
        <v/>
      </c>
      <c r="E37" s="54" t="str">
        <f t="shared" si="3"/>
        <v/>
      </c>
      <c r="F37" s="1"/>
      <c r="G37" s="1"/>
      <c r="H37" s="1"/>
      <c r="I37" s="1"/>
      <c r="J37" s="1"/>
      <c r="K37" s="1"/>
      <c r="L37" s="1"/>
      <c r="M37" s="1"/>
      <c r="N37" s="1"/>
    </row>
    <row r="38" ht="24.75" customHeight="1">
      <c r="A38" s="1"/>
      <c r="B38" s="1">
        <v>22.0</v>
      </c>
      <c r="C38" s="54" t="str">
        <f t="shared" si="1"/>
        <v/>
      </c>
      <c r="D38" s="54" t="str">
        <f t="shared" si="2"/>
        <v/>
      </c>
      <c r="E38" s="54" t="str">
        <f t="shared" si="3"/>
        <v/>
      </c>
      <c r="F38" s="1"/>
      <c r="G38" s="1"/>
      <c r="H38" s="1"/>
      <c r="I38" s="1"/>
      <c r="J38" s="1"/>
      <c r="K38" s="1"/>
      <c r="L38" s="1"/>
      <c r="M38" s="1"/>
      <c r="N38" s="1"/>
    </row>
    <row r="39" ht="24.75" customHeight="1">
      <c r="A39" s="1"/>
      <c r="B39" s="1">
        <v>23.0</v>
      </c>
      <c r="C39" s="54" t="str">
        <f t="shared" si="1"/>
        <v/>
      </c>
      <c r="D39" s="54" t="str">
        <f t="shared" si="2"/>
        <v/>
      </c>
      <c r="E39" s="54" t="str">
        <f t="shared" si="3"/>
        <v/>
      </c>
      <c r="F39" s="1"/>
      <c r="G39" s="1"/>
      <c r="H39" s="1"/>
      <c r="I39" s="1"/>
      <c r="J39" s="1"/>
      <c r="K39" s="1"/>
      <c r="L39" s="1"/>
      <c r="M39" s="1"/>
      <c r="N39" s="1"/>
    </row>
    <row r="40" ht="24.75" customHeight="1">
      <c r="A40" s="1"/>
      <c r="B40" s="1">
        <v>24.0</v>
      </c>
      <c r="C40" s="54" t="str">
        <f t="shared" si="1"/>
        <v/>
      </c>
      <c r="D40" s="54" t="str">
        <f t="shared" si="2"/>
        <v/>
      </c>
      <c r="E40" s="54" t="str">
        <f t="shared" si="3"/>
        <v/>
      </c>
      <c r="F40" s="1"/>
      <c r="G40" s="1"/>
      <c r="H40" s="1"/>
      <c r="I40" s="1"/>
      <c r="J40" s="1"/>
      <c r="K40" s="1"/>
      <c r="L40" s="1"/>
      <c r="M40" s="1"/>
      <c r="N40" s="1"/>
    </row>
    <row r="41" ht="24.75" customHeight="1">
      <c r="A41" s="1"/>
      <c r="B41" s="1">
        <v>25.0</v>
      </c>
      <c r="C41" s="54" t="str">
        <f t="shared" si="1"/>
        <v/>
      </c>
      <c r="D41" s="54" t="str">
        <f t="shared" si="2"/>
        <v/>
      </c>
      <c r="E41" s="54" t="str">
        <f t="shared" si="3"/>
        <v/>
      </c>
      <c r="F41" s="1"/>
      <c r="G41" s="1"/>
      <c r="H41" s="1"/>
      <c r="I41" s="1"/>
      <c r="J41" s="1"/>
      <c r="K41" s="1"/>
      <c r="L41" s="1"/>
      <c r="M41" s="1"/>
      <c r="N41" s="1"/>
    </row>
    <row r="42" ht="24.75" customHeight="1">
      <c r="A42" s="1"/>
      <c r="B42" s="1">
        <v>26.0</v>
      </c>
      <c r="C42" s="54" t="str">
        <f t="shared" si="1"/>
        <v/>
      </c>
      <c r="D42" s="54" t="str">
        <f t="shared" si="2"/>
        <v/>
      </c>
      <c r="E42" s="54" t="str">
        <f t="shared" si="3"/>
        <v/>
      </c>
      <c r="F42" s="1"/>
      <c r="G42" s="1"/>
      <c r="H42" s="1"/>
      <c r="I42" s="1"/>
      <c r="J42" s="1"/>
      <c r="K42" s="1"/>
      <c r="L42" s="1"/>
      <c r="M42" s="1"/>
      <c r="N42" s="1"/>
    </row>
    <row r="43" ht="24.75" customHeight="1">
      <c r="A43" s="1"/>
      <c r="B43" s="1">
        <v>27.0</v>
      </c>
      <c r="C43" s="54" t="str">
        <f t="shared" si="1"/>
        <v/>
      </c>
      <c r="D43" s="54" t="str">
        <f t="shared" si="2"/>
        <v/>
      </c>
      <c r="E43" s="54" t="str">
        <f t="shared" si="3"/>
        <v/>
      </c>
      <c r="F43" s="1"/>
      <c r="G43" s="1"/>
      <c r="H43" s="1"/>
      <c r="I43" s="1"/>
      <c r="J43" s="1"/>
      <c r="K43" s="1"/>
      <c r="L43" s="1"/>
      <c r="M43" s="1"/>
      <c r="N43" s="1"/>
    </row>
    <row r="44" ht="24.75" customHeight="1">
      <c r="A44" s="1"/>
      <c r="B44" s="1">
        <v>28.0</v>
      </c>
      <c r="C44" s="54" t="str">
        <f t="shared" si="1"/>
        <v/>
      </c>
      <c r="D44" s="54" t="str">
        <f t="shared" si="2"/>
        <v/>
      </c>
      <c r="E44" s="54" t="str">
        <f t="shared" si="3"/>
        <v/>
      </c>
      <c r="F44" s="1"/>
      <c r="G44" s="1"/>
      <c r="H44" s="1"/>
      <c r="I44" s="1"/>
      <c r="J44" s="1"/>
      <c r="K44" s="1"/>
      <c r="L44" s="1"/>
      <c r="M44" s="1"/>
      <c r="N44" s="1"/>
    </row>
    <row r="45" ht="24.75" customHeight="1">
      <c r="A45" s="1"/>
      <c r="B45" s="1">
        <v>29.0</v>
      </c>
      <c r="C45" s="54" t="str">
        <f t="shared" si="1"/>
        <v/>
      </c>
      <c r="D45" s="54" t="str">
        <f t="shared" si="2"/>
        <v/>
      </c>
      <c r="E45" s="54" t="str">
        <f t="shared" si="3"/>
        <v/>
      </c>
      <c r="F45" s="1"/>
      <c r="G45" s="1"/>
      <c r="H45" s="1"/>
      <c r="I45" s="1"/>
      <c r="J45" s="1"/>
      <c r="K45" s="1"/>
      <c r="L45" s="1"/>
      <c r="M45" s="1"/>
      <c r="N45" s="1"/>
    </row>
    <row r="46" ht="24.75" customHeight="1">
      <c r="A46" s="1"/>
      <c r="B46" s="1">
        <v>30.0</v>
      </c>
      <c r="C46" s="54" t="str">
        <f t="shared" si="1"/>
        <v/>
      </c>
      <c r="D46" s="54" t="str">
        <f t="shared" si="2"/>
        <v/>
      </c>
      <c r="E46" s="54" t="str">
        <f t="shared" si="3"/>
        <v/>
      </c>
      <c r="F46" s="1"/>
      <c r="G46" s="1"/>
      <c r="H46" s="1"/>
      <c r="I46" s="1"/>
      <c r="J46" s="1"/>
      <c r="K46" s="1"/>
      <c r="L46" s="1"/>
      <c r="M46" s="1"/>
      <c r="N46" s="1"/>
    </row>
    <row r="47" ht="24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ht="24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ht="24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ht="24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ht="24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ht="24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ht="24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ht="24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ht="24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H7:I7"/>
    <mergeCell ref="H8:I8"/>
    <mergeCell ref="E9:F9"/>
    <mergeCell ref="H9:I9"/>
    <mergeCell ref="J9:M9"/>
    <mergeCell ref="E10:F10"/>
    <mergeCell ref="B2:N2"/>
    <mergeCell ref="E6:F6"/>
    <mergeCell ref="H6:I6"/>
    <mergeCell ref="J6:M6"/>
    <mergeCell ref="E7:F7"/>
    <mergeCell ref="J7:M7"/>
    <mergeCell ref="E8:F8"/>
    <mergeCell ref="J8:M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1BBB0"/>
    <pageSetUpPr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31.0"/>
    <col customWidth="1" min="3" max="5" width="23.0"/>
    <col customWidth="1" min="6" max="6" width="13.0"/>
    <col customWidth="1" min="7" max="7" width="27.0"/>
    <col customWidth="1" min="8" max="12" width="13.0"/>
  </cols>
  <sheetData>
    <row r="1" ht="24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.75" customHeight="1">
      <c r="A2" s="1"/>
      <c r="B2" s="2" t="s">
        <v>91</v>
      </c>
    </row>
    <row r="3" ht="24.75" customHeight="1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4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4.75" customHeight="1">
      <c r="A5" s="1"/>
      <c r="B5" s="55" t="s">
        <v>92</v>
      </c>
      <c r="C5" s="55" t="s">
        <v>48</v>
      </c>
      <c r="D5" s="1"/>
      <c r="E5" s="1"/>
      <c r="F5" s="1"/>
      <c r="G5" s="1"/>
      <c r="H5" s="1"/>
      <c r="I5" s="1"/>
      <c r="J5" s="1"/>
      <c r="K5" s="1"/>
      <c r="L5" s="1"/>
    </row>
    <row r="6" ht="24.75" customHeight="1">
      <c r="A6" s="1"/>
      <c r="B6" s="56" t="s">
        <v>93</v>
      </c>
      <c r="C6" s="57">
        <v>46023.0</v>
      </c>
      <c r="D6" s="1"/>
      <c r="E6" s="1"/>
      <c r="F6" s="1"/>
      <c r="G6" s="1"/>
      <c r="H6" s="1"/>
      <c r="I6" s="1"/>
      <c r="J6" s="1"/>
      <c r="K6" s="1"/>
      <c r="L6" s="1"/>
    </row>
    <row r="7" ht="24.75" customHeight="1">
      <c r="A7" s="1"/>
      <c r="B7" s="56" t="s">
        <v>94</v>
      </c>
      <c r="C7" s="57">
        <v>46023.0</v>
      </c>
      <c r="D7" s="1"/>
      <c r="E7" s="1"/>
      <c r="F7" s="1"/>
      <c r="G7" s="1"/>
      <c r="H7" s="1"/>
      <c r="I7" s="1"/>
      <c r="J7" s="1"/>
      <c r="K7" s="1"/>
      <c r="L7" s="1"/>
    </row>
    <row r="8" ht="24.75" customHeight="1">
      <c r="A8" s="1"/>
      <c r="B8" s="56" t="s">
        <v>95</v>
      </c>
      <c r="C8" s="57">
        <v>46023.0</v>
      </c>
      <c r="D8" s="1"/>
      <c r="E8" s="1"/>
      <c r="F8" s="1"/>
      <c r="G8" s="1"/>
      <c r="H8" s="1"/>
      <c r="I8" s="1"/>
      <c r="J8" s="1"/>
      <c r="K8" s="1"/>
      <c r="L8" s="1"/>
    </row>
    <row r="9" ht="24.75" customHeight="1">
      <c r="A9" s="1"/>
      <c r="B9" s="56" t="s">
        <v>96</v>
      </c>
      <c r="C9" s="16" t="s">
        <v>97</v>
      </c>
      <c r="D9" s="1"/>
      <c r="E9" s="1"/>
      <c r="F9" s="1"/>
      <c r="G9" s="1"/>
      <c r="H9" s="1"/>
      <c r="I9" s="1"/>
      <c r="J9" s="1"/>
      <c r="K9" s="1"/>
      <c r="L9" s="1"/>
    </row>
    <row r="10" ht="24.75" customHeight="1">
      <c r="A10" s="1"/>
      <c r="B10" s="56" t="s">
        <v>98</v>
      </c>
      <c r="C10" s="16">
        <v>3.0</v>
      </c>
      <c r="D10" s="1"/>
      <c r="E10" s="1"/>
      <c r="F10" s="1"/>
      <c r="G10" s="1"/>
      <c r="H10" s="1"/>
      <c r="I10" s="1"/>
      <c r="J10" s="1"/>
      <c r="K10" s="1"/>
      <c r="L10" s="1"/>
    </row>
    <row r="11" ht="24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ht="24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ht="24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ht="37.5" customHeight="1">
      <c r="A14" s="1"/>
      <c r="B14" s="4" t="s">
        <v>99</v>
      </c>
      <c r="C14" s="4" t="s">
        <v>100</v>
      </c>
      <c r="D14" s="4" t="s">
        <v>101</v>
      </c>
      <c r="E14" s="4" t="s">
        <v>9</v>
      </c>
      <c r="F14" s="1"/>
      <c r="G14" s="58" t="s">
        <v>102</v>
      </c>
      <c r="H14" s="1"/>
      <c r="I14" s="1"/>
      <c r="J14" s="1"/>
      <c r="K14" s="1"/>
      <c r="L14" s="1"/>
    </row>
    <row r="15" ht="27.75" customHeight="1">
      <c r="A15" s="1"/>
      <c r="B15" s="5"/>
      <c r="C15" s="5"/>
      <c r="D15" s="5"/>
      <c r="E15" s="5"/>
      <c r="F15" s="1"/>
      <c r="G15" s="1" t="s">
        <v>104</v>
      </c>
      <c r="H15" s="1"/>
      <c r="I15" s="1"/>
      <c r="J15" s="1"/>
      <c r="K15" s="1"/>
      <c r="L15" s="1"/>
    </row>
    <row r="16" ht="27.75" customHeight="1">
      <c r="A16" s="1"/>
      <c r="B16" s="10"/>
      <c r="C16" s="10"/>
      <c r="D16" s="10"/>
      <c r="E16" s="10"/>
      <c r="F16" s="1"/>
      <c r="G16" s="1" t="s">
        <v>105</v>
      </c>
      <c r="H16" s="1"/>
      <c r="I16" s="1"/>
      <c r="J16" s="1"/>
      <c r="K16" s="1"/>
      <c r="L16" s="1"/>
    </row>
    <row r="17" ht="27.75" customHeight="1">
      <c r="A17" s="1"/>
      <c r="B17" s="5"/>
      <c r="C17" s="5"/>
      <c r="D17" s="5"/>
      <c r="E17" s="5"/>
      <c r="F17" s="1"/>
      <c r="G17" s="1" t="s">
        <v>106</v>
      </c>
      <c r="H17" s="1"/>
      <c r="I17" s="1"/>
      <c r="J17" s="1"/>
      <c r="K17" s="1"/>
      <c r="L17" s="1"/>
    </row>
    <row r="18" ht="27.75" customHeight="1">
      <c r="A18" s="1"/>
      <c r="B18" s="10"/>
      <c r="C18" s="10"/>
      <c r="D18" s="10"/>
      <c r="E18" s="10"/>
      <c r="F18" s="1"/>
      <c r="G18" s="1" t="s">
        <v>107</v>
      </c>
      <c r="H18" s="1"/>
      <c r="I18" s="1"/>
      <c r="J18" s="1"/>
      <c r="K18" s="1"/>
      <c r="L18" s="1"/>
    </row>
    <row r="19" ht="27.75" customHeight="1">
      <c r="A19" s="1"/>
      <c r="B19" s="5"/>
      <c r="C19" s="5"/>
      <c r="D19" s="5"/>
      <c r="E19" s="5"/>
      <c r="F19" s="1"/>
      <c r="G19" s="1" t="s">
        <v>108</v>
      </c>
      <c r="H19" s="1"/>
      <c r="I19" s="1"/>
      <c r="J19" s="1"/>
      <c r="K19" s="1"/>
      <c r="L19" s="1"/>
    </row>
    <row r="20" ht="27.75" customHeight="1">
      <c r="A20" s="1"/>
      <c r="B20" s="10"/>
      <c r="C20" s="10"/>
      <c r="D20" s="10"/>
      <c r="E20" s="10"/>
      <c r="F20" s="1"/>
      <c r="G20" s="1" t="s">
        <v>109</v>
      </c>
      <c r="H20" s="1"/>
      <c r="I20" s="1"/>
      <c r="J20" s="1"/>
      <c r="K20" s="1"/>
      <c r="L20" s="1"/>
    </row>
    <row r="21" ht="27.75" customHeight="1">
      <c r="A21" s="1"/>
      <c r="B21" s="5"/>
      <c r="C21" s="5"/>
      <c r="D21" s="5"/>
      <c r="E21" s="5"/>
      <c r="F21" s="1"/>
      <c r="G21" s="1" t="s">
        <v>110</v>
      </c>
      <c r="H21" s="1"/>
      <c r="I21" s="1"/>
      <c r="J21" s="1"/>
      <c r="K21" s="1"/>
      <c r="L21" s="1"/>
    </row>
    <row r="22" ht="27.75" customHeight="1">
      <c r="A22" s="1"/>
      <c r="B22" s="10"/>
      <c r="C22" s="10"/>
      <c r="D22" s="10"/>
      <c r="E22" s="10"/>
      <c r="F22" s="1"/>
      <c r="G22" s="1" t="s">
        <v>111</v>
      </c>
      <c r="H22" s="1"/>
      <c r="I22" s="1"/>
      <c r="J22" s="1"/>
      <c r="K22" s="1"/>
      <c r="L22" s="1"/>
    </row>
    <row r="23" ht="27.75" customHeight="1">
      <c r="A23" s="1"/>
      <c r="B23" s="5"/>
      <c r="C23" s="5"/>
      <c r="D23" s="5"/>
      <c r="E23" s="5"/>
      <c r="F23" s="1"/>
      <c r="G23" s="1" t="s">
        <v>112</v>
      </c>
      <c r="H23" s="1"/>
      <c r="I23" s="1"/>
      <c r="J23" s="1"/>
      <c r="K23" s="1"/>
      <c r="L23" s="1"/>
    </row>
    <row r="24" ht="27.75" customHeight="1">
      <c r="A24" s="1"/>
      <c r="B24" s="10"/>
      <c r="C24" s="10"/>
      <c r="D24" s="10"/>
      <c r="E24" s="10"/>
      <c r="F24" s="1"/>
      <c r="G24" s="1" t="s">
        <v>113</v>
      </c>
      <c r="H24" s="1"/>
      <c r="I24" s="1"/>
      <c r="J24" s="1"/>
      <c r="K24" s="1"/>
      <c r="L24" s="1"/>
    </row>
    <row r="25" ht="27.75" customHeight="1">
      <c r="A25" s="1"/>
      <c r="B25" s="5"/>
      <c r="C25" s="5"/>
      <c r="D25" s="5"/>
      <c r="E25" s="5"/>
      <c r="F25" s="1"/>
      <c r="G25" s="1"/>
      <c r="H25" s="1"/>
      <c r="I25" s="1"/>
      <c r="J25" s="1"/>
      <c r="K25" s="1"/>
      <c r="L25" s="1"/>
    </row>
    <row r="26" ht="27.75" customHeight="1">
      <c r="A26" s="1"/>
      <c r="B26" s="10"/>
      <c r="C26" s="10"/>
      <c r="D26" s="10"/>
      <c r="E26" s="10"/>
      <c r="F26" s="1"/>
      <c r="G26" s="1"/>
      <c r="H26" s="1"/>
      <c r="I26" s="1"/>
      <c r="J26" s="1"/>
      <c r="K26" s="1"/>
      <c r="L26" s="1"/>
    </row>
    <row r="27" ht="27.75" customHeight="1">
      <c r="A27" s="1"/>
      <c r="B27" s="5"/>
      <c r="C27" s="5"/>
      <c r="D27" s="5"/>
      <c r="E27" s="5"/>
      <c r="F27" s="1"/>
      <c r="G27" s="1"/>
      <c r="H27" s="1"/>
      <c r="I27" s="1"/>
      <c r="J27" s="1"/>
      <c r="K27" s="1"/>
      <c r="L27" s="1"/>
    </row>
    <row r="28" ht="27.75" customHeight="1">
      <c r="A28" s="1"/>
      <c r="B28" s="10"/>
      <c r="C28" s="10"/>
      <c r="D28" s="10"/>
      <c r="E28" s="10"/>
      <c r="F28" s="1"/>
      <c r="G28" s="58" t="s">
        <v>114</v>
      </c>
      <c r="H28" s="1"/>
      <c r="I28" s="1"/>
      <c r="J28" s="1"/>
      <c r="K28" s="1"/>
      <c r="L28" s="1"/>
    </row>
    <row r="29" ht="27.75" customHeight="1">
      <c r="A29" s="1"/>
      <c r="B29" s="5"/>
      <c r="C29" s="5"/>
      <c r="D29" s="5"/>
      <c r="E29" s="5"/>
      <c r="F29" s="1"/>
      <c r="G29" s="1" t="s">
        <v>115</v>
      </c>
      <c r="H29" s="1"/>
      <c r="I29" s="1"/>
      <c r="J29" s="1"/>
      <c r="K29" s="1"/>
      <c r="L29" s="1"/>
    </row>
    <row r="30" ht="27.75" customHeight="1">
      <c r="A30" s="1"/>
      <c r="B30" s="10"/>
      <c r="C30" s="10"/>
      <c r="D30" s="10"/>
      <c r="E30" s="10"/>
      <c r="F30" s="1"/>
      <c r="G30" s="1" t="s">
        <v>116</v>
      </c>
      <c r="H30" s="1"/>
      <c r="I30" s="1"/>
      <c r="J30" s="1"/>
      <c r="K30" s="1"/>
      <c r="L30" s="1"/>
    </row>
    <row r="31" ht="27.75" customHeight="1">
      <c r="A31" s="1"/>
      <c r="B31" s="5"/>
      <c r="C31" s="5"/>
      <c r="D31" s="5"/>
      <c r="E31" s="5"/>
      <c r="F31" s="1"/>
      <c r="G31" s="1" t="s">
        <v>117</v>
      </c>
      <c r="H31" s="1"/>
      <c r="I31" s="1"/>
      <c r="J31" s="1"/>
      <c r="K31" s="1"/>
      <c r="L31" s="1"/>
    </row>
    <row r="32" ht="27.75" customHeight="1">
      <c r="A32" s="1"/>
      <c r="B32" s="10"/>
      <c r="C32" s="10"/>
      <c r="D32" s="10"/>
      <c r="E32" s="10"/>
      <c r="F32" s="1"/>
      <c r="G32" s="1" t="s">
        <v>118</v>
      </c>
      <c r="H32" s="1"/>
      <c r="I32" s="1"/>
      <c r="J32" s="1"/>
      <c r="K32" s="1"/>
      <c r="L32" s="1"/>
    </row>
    <row r="33" ht="27.75" customHeight="1">
      <c r="A33" s="1"/>
      <c r="B33" s="5"/>
      <c r="C33" s="5"/>
      <c r="D33" s="5"/>
      <c r="E33" s="5"/>
      <c r="F33" s="1"/>
      <c r="G33" s="1" t="s">
        <v>119</v>
      </c>
      <c r="H33" s="1"/>
      <c r="I33" s="1"/>
      <c r="J33" s="1"/>
      <c r="K33" s="1"/>
      <c r="L33" s="1"/>
    </row>
    <row r="34" ht="27.75" customHeight="1">
      <c r="A34" s="1"/>
      <c r="B34" s="10"/>
      <c r="C34" s="10"/>
      <c r="D34" s="10"/>
      <c r="E34" s="10"/>
      <c r="F34" s="1"/>
      <c r="G34" s="1"/>
      <c r="H34" s="1"/>
      <c r="I34" s="1"/>
      <c r="J34" s="1"/>
      <c r="K34" s="1"/>
      <c r="L34" s="1"/>
    </row>
    <row r="35" ht="27.75" customHeight="1">
      <c r="A35" s="1"/>
      <c r="B35" s="10"/>
      <c r="C35" s="10"/>
      <c r="D35" s="10"/>
      <c r="E35" s="10"/>
      <c r="F35" s="1"/>
      <c r="G35" s="1"/>
      <c r="H35" s="1"/>
      <c r="I35" s="1"/>
      <c r="J35" s="1"/>
      <c r="K35" s="1"/>
      <c r="L35" s="1"/>
    </row>
    <row r="36" ht="27.75" customHeight="1">
      <c r="A36" s="1"/>
      <c r="B36" s="10"/>
      <c r="C36" s="10"/>
      <c r="D36" s="10"/>
      <c r="E36" s="10"/>
      <c r="F36" s="1"/>
      <c r="G36" s="1"/>
      <c r="H36" s="1"/>
      <c r="I36" s="1"/>
      <c r="J36" s="1"/>
      <c r="K36" s="1"/>
      <c r="L36" s="1"/>
    </row>
    <row r="37" ht="27.75" customHeight="1">
      <c r="A37" s="1"/>
      <c r="B37" s="10"/>
      <c r="C37" s="10"/>
      <c r="D37" s="10"/>
      <c r="E37" s="10"/>
      <c r="F37" s="1"/>
      <c r="G37" s="1"/>
      <c r="H37" s="1"/>
      <c r="I37" s="1"/>
      <c r="J37" s="1"/>
      <c r="K37" s="1"/>
      <c r="L37" s="1"/>
    </row>
    <row r="38" ht="27.75" customHeight="1">
      <c r="A38" s="1"/>
      <c r="B38" s="10"/>
      <c r="C38" s="10"/>
      <c r="D38" s="10"/>
      <c r="E38" s="10"/>
      <c r="F38" s="1"/>
      <c r="G38" s="1"/>
      <c r="H38" s="1"/>
      <c r="I38" s="1"/>
      <c r="J38" s="1"/>
      <c r="K38" s="1"/>
      <c r="L38" s="1"/>
    </row>
    <row r="39" ht="27.75" customHeight="1">
      <c r="A39" s="1"/>
      <c r="B39" s="10"/>
      <c r="C39" s="10"/>
      <c r="D39" s="10"/>
      <c r="E39" s="10"/>
      <c r="F39" s="1"/>
      <c r="G39" s="1"/>
      <c r="H39" s="1"/>
      <c r="I39" s="1"/>
      <c r="J39" s="1"/>
      <c r="K39" s="1"/>
      <c r="L39" s="1"/>
    </row>
    <row r="40" ht="27.75" customHeight="1">
      <c r="A40" s="1"/>
      <c r="B40" s="10"/>
      <c r="C40" s="10"/>
      <c r="D40" s="10"/>
      <c r="E40" s="10"/>
      <c r="F40" s="1"/>
      <c r="G40" s="1"/>
      <c r="H40" s="1"/>
      <c r="I40" s="1"/>
      <c r="J40" s="1"/>
      <c r="K40" s="1"/>
      <c r="L40" s="1"/>
    </row>
    <row r="41" ht="27.75" customHeight="1">
      <c r="A41" s="1"/>
      <c r="B41" s="10"/>
      <c r="C41" s="10"/>
      <c r="D41" s="10"/>
      <c r="E41" s="10"/>
      <c r="F41" s="1"/>
      <c r="G41" s="1"/>
      <c r="H41" s="1"/>
      <c r="I41" s="1"/>
      <c r="J41" s="1"/>
      <c r="K41" s="1"/>
      <c r="L41" s="1"/>
    </row>
    <row r="42" ht="27.75" customHeight="1">
      <c r="A42" s="1"/>
      <c r="B42" s="10"/>
      <c r="C42" s="10"/>
      <c r="D42" s="10"/>
      <c r="E42" s="10"/>
      <c r="F42" s="1"/>
      <c r="G42" s="1"/>
      <c r="H42" s="1"/>
      <c r="I42" s="1"/>
      <c r="J42" s="1"/>
      <c r="K42" s="1"/>
      <c r="L42" s="1"/>
    </row>
    <row r="43" ht="27.75" customHeight="1">
      <c r="A43" s="1"/>
      <c r="B43" s="10"/>
      <c r="C43" s="10"/>
      <c r="D43" s="10"/>
      <c r="E43" s="10"/>
      <c r="F43" s="1"/>
      <c r="G43" s="1"/>
      <c r="H43" s="1"/>
      <c r="I43" s="1"/>
      <c r="J43" s="1"/>
      <c r="K43" s="1"/>
      <c r="L43" s="1"/>
    </row>
    <row r="44" ht="27.75" customHeight="1">
      <c r="A44" s="1"/>
      <c r="B44" s="10"/>
      <c r="C44" s="10"/>
      <c r="D44" s="10"/>
      <c r="E44" s="10"/>
      <c r="F44" s="1"/>
      <c r="G44" s="1"/>
      <c r="H44" s="1"/>
      <c r="I44" s="1"/>
      <c r="J44" s="1"/>
      <c r="K44" s="1"/>
      <c r="L44" s="1"/>
    </row>
    <row r="45" ht="27.75" customHeight="1">
      <c r="A45" s="1"/>
      <c r="B45" s="10"/>
      <c r="C45" s="10"/>
      <c r="D45" s="10"/>
      <c r="E45" s="10"/>
      <c r="F45" s="1"/>
      <c r="G45" s="1"/>
      <c r="H45" s="1"/>
      <c r="I45" s="1"/>
      <c r="J45" s="1"/>
      <c r="K45" s="1"/>
      <c r="L45" s="1"/>
    </row>
    <row r="46" ht="27.75" customHeight="1">
      <c r="A46" s="1"/>
      <c r="B46" s="10"/>
      <c r="C46" s="10"/>
      <c r="D46" s="10"/>
      <c r="E46" s="10"/>
      <c r="F46" s="1"/>
      <c r="G46" s="1"/>
      <c r="H46" s="1"/>
      <c r="I46" s="1"/>
      <c r="J46" s="1"/>
      <c r="K46" s="1"/>
      <c r="L46" s="1"/>
    </row>
    <row r="47" ht="27.75" customHeight="1">
      <c r="A47" s="1"/>
      <c r="B47" s="10"/>
      <c r="C47" s="10"/>
      <c r="D47" s="10"/>
      <c r="E47" s="10"/>
      <c r="F47" s="1"/>
      <c r="G47" s="1"/>
      <c r="H47" s="1"/>
      <c r="I47" s="1"/>
      <c r="J47" s="1"/>
      <c r="K47" s="1"/>
      <c r="L47" s="1"/>
    </row>
    <row r="48" ht="27.75" customHeight="1">
      <c r="A48" s="1"/>
      <c r="B48" s="10"/>
      <c r="C48" s="10"/>
      <c r="D48" s="10"/>
      <c r="E48" s="10"/>
      <c r="F48" s="1"/>
      <c r="G48" s="1"/>
      <c r="H48" s="1"/>
      <c r="I48" s="1"/>
      <c r="J48" s="1"/>
      <c r="K48" s="1"/>
      <c r="L48" s="1"/>
    </row>
    <row r="49" ht="27.75" customHeight="1">
      <c r="A49" s="1"/>
      <c r="B49" s="10"/>
      <c r="C49" s="10"/>
      <c r="D49" s="10"/>
      <c r="E49" s="10"/>
      <c r="F49" s="1"/>
      <c r="G49" s="1"/>
      <c r="H49" s="1"/>
      <c r="I49" s="1"/>
      <c r="J49" s="1"/>
      <c r="K49" s="1"/>
      <c r="L49" s="1"/>
    </row>
    <row r="50" ht="27.75" customHeight="1">
      <c r="A50" s="1"/>
      <c r="B50" s="10"/>
      <c r="C50" s="10"/>
      <c r="D50" s="10"/>
      <c r="E50" s="10"/>
      <c r="F50" s="1"/>
      <c r="G50" s="1"/>
      <c r="H50" s="1"/>
      <c r="I50" s="1"/>
      <c r="J50" s="1"/>
      <c r="K50" s="1"/>
      <c r="L50" s="1"/>
    </row>
    <row r="51" ht="27.75" customHeight="1">
      <c r="A51" s="1"/>
      <c r="B51" s="10"/>
      <c r="C51" s="10"/>
      <c r="D51" s="10"/>
      <c r="E51" s="10"/>
      <c r="F51" s="1"/>
      <c r="G51" s="1"/>
      <c r="H51" s="1"/>
      <c r="I51" s="1"/>
      <c r="J51" s="1"/>
      <c r="K51" s="1"/>
      <c r="L51" s="1"/>
    </row>
    <row r="52" ht="27.75" customHeight="1">
      <c r="A52" s="1"/>
      <c r="B52" s="10"/>
      <c r="C52" s="10"/>
      <c r="D52" s="10"/>
      <c r="E52" s="10"/>
      <c r="F52" s="1"/>
      <c r="G52" s="1"/>
      <c r="H52" s="1"/>
      <c r="I52" s="1"/>
      <c r="J52" s="1"/>
      <c r="K52" s="1"/>
      <c r="L52" s="1"/>
    </row>
    <row r="53" ht="27.75" customHeight="1">
      <c r="A53" s="1"/>
      <c r="B53" s="10"/>
      <c r="C53" s="10"/>
      <c r="D53" s="10"/>
      <c r="E53" s="10"/>
      <c r="F53" s="1"/>
      <c r="G53" s="1"/>
      <c r="H53" s="1"/>
      <c r="I53" s="1"/>
      <c r="J53" s="1"/>
      <c r="K53" s="1"/>
      <c r="L53" s="1"/>
    </row>
    <row r="54" ht="27.75" customHeight="1">
      <c r="A54" s="1"/>
      <c r="B54" s="10"/>
      <c r="C54" s="10"/>
      <c r="D54" s="10"/>
      <c r="E54" s="10"/>
      <c r="F54" s="1"/>
      <c r="G54" s="1"/>
      <c r="H54" s="1"/>
      <c r="I54" s="1"/>
      <c r="J54" s="1"/>
      <c r="K54" s="1"/>
      <c r="L54" s="1"/>
    </row>
    <row r="55" ht="27.75" customHeight="1">
      <c r="A55" s="1"/>
      <c r="B55" s="10"/>
      <c r="C55" s="10"/>
      <c r="D55" s="10"/>
      <c r="E55" s="10"/>
      <c r="F55" s="1"/>
      <c r="G55" s="1"/>
      <c r="H55" s="1"/>
      <c r="I55" s="1"/>
      <c r="J55" s="1"/>
      <c r="K55" s="1"/>
      <c r="L55" s="1"/>
    </row>
    <row r="56" ht="27.75" customHeight="1">
      <c r="A56" s="1"/>
      <c r="B56" s="10"/>
      <c r="C56" s="10"/>
      <c r="D56" s="10"/>
      <c r="E56" s="10"/>
      <c r="F56" s="1"/>
      <c r="G56" s="1"/>
      <c r="H56" s="1"/>
      <c r="I56" s="1"/>
      <c r="J56" s="1"/>
      <c r="K56" s="1"/>
      <c r="L56" s="1"/>
    </row>
    <row r="57" ht="27.75" customHeight="1">
      <c r="A57" s="1"/>
      <c r="B57" s="10"/>
      <c r="C57" s="10"/>
      <c r="D57" s="10"/>
      <c r="E57" s="10"/>
      <c r="F57" s="1"/>
      <c r="G57" s="1"/>
      <c r="H57" s="1"/>
      <c r="I57" s="1"/>
      <c r="J57" s="1"/>
      <c r="K57" s="1"/>
      <c r="L57" s="1"/>
    </row>
    <row r="58" ht="27.75" customHeight="1">
      <c r="A58" s="1"/>
      <c r="B58" s="10"/>
      <c r="C58" s="10"/>
      <c r="D58" s="10"/>
      <c r="E58" s="10"/>
      <c r="F58" s="1"/>
      <c r="G58" s="1"/>
      <c r="H58" s="1"/>
      <c r="I58" s="1"/>
      <c r="J58" s="1"/>
      <c r="K58" s="1"/>
      <c r="L58" s="1"/>
    </row>
    <row r="59" ht="27.75" customHeight="1">
      <c r="A59" s="1"/>
      <c r="B59" s="10"/>
      <c r="C59" s="10"/>
      <c r="D59" s="10"/>
      <c r="E59" s="10"/>
      <c r="F59" s="1"/>
      <c r="G59" s="1"/>
      <c r="H59" s="1"/>
      <c r="I59" s="1"/>
      <c r="J59" s="1"/>
      <c r="K59" s="1"/>
      <c r="L59" s="1"/>
    </row>
    <row r="60" ht="27.75" customHeight="1">
      <c r="A60" s="1"/>
      <c r="B60" s="10"/>
      <c r="C60" s="10"/>
      <c r="D60" s="10"/>
      <c r="E60" s="10"/>
      <c r="F60" s="1"/>
      <c r="G60" s="1"/>
      <c r="H60" s="1"/>
      <c r="I60" s="1"/>
      <c r="J60" s="1"/>
      <c r="K60" s="1"/>
      <c r="L60" s="1"/>
    </row>
    <row r="61" ht="27.75" customHeight="1">
      <c r="A61" s="1"/>
      <c r="B61" s="10"/>
      <c r="C61" s="10"/>
      <c r="D61" s="10"/>
      <c r="E61" s="10"/>
      <c r="F61" s="1"/>
      <c r="G61" s="1"/>
      <c r="H61" s="1"/>
      <c r="I61" s="1"/>
      <c r="J61" s="1"/>
      <c r="K61" s="1"/>
      <c r="L61" s="1"/>
    </row>
    <row r="62" ht="27.75" customHeight="1">
      <c r="A62" s="1"/>
      <c r="B62" s="10"/>
      <c r="C62" s="10"/>
      <c r="D62" s="10"/>
      <c r="E62" s="10"/>
      <c r="F62" s="1"/>
      <c r="G62" s="1"/>
      <c r="H62" s="1"/>
      <c r="I62" s="1"/>
      <c r="J62" s="1"/>
      <c r="K62" s="1"/>
      <c r="L62" s="1"/>
    </row>
    <row r="63" ht="27.75" customHeight="1">
      <c r="A63" s="1"/>
      <c r="B63" s="10"/>
      <c r="C63" s="10"/>
      <c r="D63" s="10"/>
      <c r="E63" s="10"/>
      <c r="F63" s="1"/>
      <c r="G63" s="1"/>
      <c r="H63" s="1"/>
      <c r="I63" s="1"/>
      <c r="J63" s="1"/>
      <c r="K63" s="1"/>
      <c r="L63" s="1"/>
    </row>
    <row r="64" ht="27.75" customHeight="1">
      <c r="A64" s="1"/>
      <c r="B64" s="10"/>
      <c r="C64" s="10"/>
      <c r="D64" s="10"/>
      <c r="E64" s="10"/>
      <c r="F64" s="1"/>
      <c r="G64" s="1"/>
      <c r="H64" s="1"/>
      <c r="I64" s="1"/>
      <c r="J64" s="1"/>
      <c r="K64" s="1"/>
      <c r="L64" s="1"/>
    </row>
    <row r="65" ht="27.75" customHeight="1">
      <c r="A65" s="1"/>
      <c r="B65" s="10"/>
      <c r="C65" s="10"/>
      <c r="D65" s="10"/>
      <c r="E65" s="10"/>
      <c r="F65" s="1"/>
      <c r="G65" s="1"/>
      <c r="H65" s="1"/>
      <c r="I65" s="1"/>
      <c r="J65" s="1"/>
      <c r="K65" s="1"/>
      <c r="L65" s="1"/>
    </row>
    <row r="66" ht="27.75" customHeight="1">
      <c r="A66" s="1"/>
      <c r="B66" s="10"/>
      <c r="C66" s="10"/>
      <c r="D66" s="10"/>
      <c r="E66" s="10"/>
      <c r="F66" s="1"/>
      <c r="G66" s="1"/>
      <c r="H66" s="1"/>
      <c r="I66" s="1"/>
      <c r="J66" s="1"/>
      <c r="K66" s="1"/>
      <c r="L66" s="1"/>
    </row>
    <row r="67" ht="27.75" customHeight="1">
      <c r="A67" s="1"/>
      <c r="B67" s="10"/>
      <c r="C67" s="10"/>
      <c r="D67" s="10"/>
      <c r="E67" s="10"/>
      <c r="F67" s="1"/>
      <c r="G67" s="1"/>
      <c r="H67" s="1"/>
      <c r="I67" s="1"/>
      <c r="J67" s="1"/>
      <c r="K67" s="1"/>
      <c r="L67" s="1"/>
    </row>
    <row r="68" ht="27.75" customHeight="1">
      <c r="A68" s="1"/>
      <c r="B68" s="10"/>
      <c r="C68" s="10"/>
      <c r="D68" s="10"/>
      <c r="E68" s="10"/>
      <c r="F68" s="1"/>
      <c r="G68" s="1"/>
      <c r="H68" s="1"/>
      <c r="I68" s="1"/>
      <c r="J68" s="1"/>
      <c r="K68" s="1"/>
      <c r="L68" s="1"/>
    </row>
    <row r="69" ht="27.75" customHeight="1">
      <c r="A69" s="1"/>
      <c r="B69" s="10"/>
      <c r="C69" s="10"/>
      <c r="D69" s="10"/>
      <c r="E69" s="10"/>
      <c r="F69" s="1"/>
      <c r="G69" s="1"/>
      <c r="H69" s="1"/>
      <c r="I69" s="1"/>
      <c r="J69" s="1"/>
      <c r="K69" s="1"/>
      <c r="L69" s="1"/>
    </row>
    <row r="70" ht="27.75" customHeight="1">
      <c r="A70" s="1"/>
      <c r="B70" s="10"/>
      <c r="C70" s="10"/>
      <c r="D70" s="10"/>
      <c r="E70" s="10"/>
      <c r="F70" s="1"/>
      <c r="G70" s="1"/>
      <c r="H70" s="1"/>
      <c r="I70" s="1"/>
      <c r="J70" s="1"/>
      <c r="K70" s="1"/>
      <c r="L70" s="1"/>
    </row>
    <row r="71" ht="27.75" customHeight="1">
      <c r="A71" s="1"/>
      <c r="B71" s="10"/>
      <c r="C71" s="10"/>
      <c r="D71" s="10"/>
      <c r="E71" s="10"/>
      <c r="F71" s="1"/>
      <c r="G71" s="1"/>
      <c r="H71" s="1"/>
      <c r="I71" s="1"/>
      <c r="J71" s="1"/>
      <c r="K71" s="1"/>
      <c r="L71" s="1"/>
    </row>
    <row r="72" ht="27.75" customHeight="1">
      <c r="A72" s="1"/>
      <c r="B72" s="10"/>
      <c r="C72" s="10"/>
      <c r="D72" s="10"/>
      <c r="E72" s="10"/>
      <c r="F72" s="1"/>
      <c r="G72" s="1"/>
      <c r="H72" s="1"/>
      <c r="I72" s="1"/>
      <c r="J72" s="1"/>
      <c r="K72" s="1"/>
      <c r="L72" s="1"/>
    </row>
    <row r="73" ht="27.75" customHeight="1">
      <c r="A73" s="1"/>
      <c r="B73" s="10"/>
      <c r="C73" s="10"/>
      <c r="D73" s="10"/>
      <c r="E73" s="10"/>
      <c r="F73" s="1"/>
      <c r="G73" s="1"/>
      <c r="H73" s="1"/>
      <c r="I73" s="1"/>
      <c r="J73" s="1"/>
      <c r="K73" s="1"/>
      <c r="L73" s="1"/>
    </row>
    <row r="74" ht="27.75" customHeight="1">
      <c r="A74" s="1"/>
      <c r="B74" s="10"/>
      <c r="C74" s="10"/>
      <c r="D74" s="10"/>
      <c r="E74" s="10"/>
      <c r="F74" s="1"/>
      <c r="G74" s="1"/>
      <c r="H74" s="1"/>
      <c r="I74" s="1"/>
      <c r="J74" s="1"/>
      <c r="K74" s="1"/>
      <c r="L74" s="1"/>
    </row>
    <row r="75" ht="27.75" customHeight="1">
      <c r="A75" s="1"/>
      <c r="B75" s="10"/>
      <c r="C75" s="10"/>
      <c r="D75" s="10"/>
      <c r="E75" s="10"/>
      <c r="F75" s="1"/>
      <c r="G75" s="1"/>
      <c r="H75" s="1"/>
      <c r="I75" s="1"/>
      <c r="J75" s="1"/>
      <c r="K75" s="1"/>
      <c r="L75" s="1"/>
    </row>
    <row r="76" ht="27.75" customHeight="1">
      <c r="A76" s="1"/>
      <c r="B76" s="10"/>
      <c r="C76" s="10"/>
      <c r="D76" s="10"/>
      <c r="E76" s="10"/>
      <c r="F76" s="1"/>
      <c r="G76" s="1"/>
      <c r="H76" s="1"/>
      <c r="I76" s="1"/>
      <c r="J76" s="1"/>
      <c r="K76" s="1"/>
      <c r="L76" s="1"/>
    </row>
    <row r="77" ht="27.75" customHeight="1">
      <c r="A77" s="1"/>
      <c r="B77" s="10"/>
      <c r="C77" s="10"/>
      <c r="D77" s="10"/>
      <c r="E77" s="10"/>
      <c r="F77" s="1"/>
      <c r="G77" s="1"/>
      <c r="H77" s="1"/>
      <c r="I77" s="1"/>
      <c r="J77" s="1"/>
      <c r="K77" s="1"/>
      <c r="L77" s="1"/>
    </row>
    <row r="78" ht="27.75" customHeight="1">
      <c r="A78" s="1"/>
      <c r="B78" s="10"/>
      <c r="C78" s="10"/>
      <c r="D78" s="10"/>
      <c r="E78" s="10"/>
      <c r="F78" s="1"/>
      <c r="G78" s="1"/>
      <c r="H78" s="1"/>
      <c r="I78" s="1"/>
      <c r="J78" s="1"/>
      <c r="K78" s="1"/>
      <c r="L78" s="1"/>
    </row>
    <row r="79" ht="27.75" customHeight="1">
      <c r="A79" s="1"/>
      <c r="B79" s="10"/>
      <c r="C79" s="10"/>
      <c r="D79" s="10"/>
      <c r="E79" s="10"/>
      <c r="F79" s="1"/>
      <c r="G79" s="1"/>
      <c r="H79" s="1"/>
      <c r="I79" s="1"/>
      <c r="J79" s="1"/>
      <c r="K79" s="1"/>
      <c r="L79" s="1"/>
    </row>
    <row r="80" ht="27.75" customHeight="1">
      <c r="A80" s="1"/>
      <c r="B80" s="10"/>
      <c r="C80" s="10"/>
      <c r="D80" s="10"/>
      <c r="E80" s="10"/>
      <c r="F80" s="1"/>
      <c r="G80" s="1"/>
      <c r="H80" s="1"/>
      <c r="I80" s="1"/>
      <c r="J80" s="1"/>
      <c r="K80" s="1"/>
      <c r="L80" s="1"/>
    </row>
    <row r="81" ht="27.75" customHeight="1">
      <c r="A81" s="1"/>
      <c r="B81" s="10"/>
      <c r="C81" s="10"/>
      <c r="D81" s="10"/>
      <c r="E81" s="10"/>
      <c r="F81" s="1"/>
      <c r="G81" s="1"/>
      <c r="H81" s="1"/>
      <c r="I81" s="1"/>
      <c r="J81" s="1"/>
      <c r="K81" s="1"/>
      <c r="L81" s="1"/>
    </row>
    <row r="82" ht="27.75" customHeight="1">
      <c r="A82" s="1"/>
      <c r="B82" s="10"/>
      <c r="C82" s="10"/>
      <c r="D82" s="10"/>
      <c r="E82" s="10"/>
      <c r="F82" s="1"/>
      <c r="G82" s="1"/>
      <c r="H82" s="1"/>
      <c r="I82" s="1"/>
      <c r="J82" s="1"/>
      <c r="K82" s="1"/>
      <c r="L82" s="1"/>
    </row>
    <row r="83" ht="27.75" customHeight="1">
      <c r="A83" s="1"/>
      <c r="B83" s="10"/>
      <c r="C83" s="10"/>
      <c r="D83" s="10"/>
      <c r="E83" s="10"/>
      <c r="F83" s="1"/>
      <c r="G83" s="1"/>
      <c r="H83" s="1"/>
      <c r="I83" s="1"/>
      <c r="J83" s="1"/>
      <c r="K83" s="1"/>
      <c r="L83" s="1"/>
    </row>
    <row r="84" ht="27.75" customHeight="1">
      <c r="A84" s="1"/>
      <c r="B84" s="10"/>
      <c r="C84" s="10"/>
      <c r="D84" s="10"/>
      <c r="E84" s="10"/>
      <c r="F84" s="1"/>
      <c r="G84" s="1"/>
      <c r="H84" s="1"/>
      <c r="I84" s="1"/>
      <c r="J84" s="1"/>
      <c r="K84" s="1"/>
      <c r="L84" s="1"/>
    </row>
    <row r="85" ht="27.75" customHeight="1">
      <c r="A85" s="1"/>
      <c r="B85" s="10"/>
      <c r="C85" s="10"/>
      <c r="D85" s="10"/>
      <c r="E85" s="10"/>
      <c r="F85" s="1"/>
      <c r="G85" s="1"/>
      <c r="H85" s="1"/>
      <c r="I85" s="1"/>
      <c r="J85" s="1"/>
      <c r="K85" s="1"/>
      <c r="L85" s="1"/>
    </row>
    <row r="86" ht="27.75" customHeight="1">
      <c r="A86" s="1"/>
      <c r="B86" s="10"/>
      <c r="C86" s="10"/>
      <c r="D86" s="10"/>
      <c r="E86" s="10"/>
      <c r="F86" s="1"/>
      <c r="G86" s="1"/>
      <c r="H86" s="1"/>
      <c r="I86" s="1"/>
      <c r="J86" s="1"/>
      <c r="K86" s="1"/>
      <c r="L86" s="1"/>
    </row>
    <row r="87" ht="27.75" customHeight="1">
      <c r="A87" s="1"/>
      <c r="B87" s="10"/>
      <c r="C87" s="10"/>
      <c r="D87" s="10"/>
      <c r="E87" s="10"/>
      <c r="F87" s="1"/>
      <c r="G87" s="1"/>
      <c r="H87" s="1"/>
      <c r="I87" s="1"/>
      <c r="J87" s="1"/>
      <c r="K87" s="1"/>
      <c r="L87" s="1"/>
    </row>
    <row r="88" ht="27.75" customHeight="1">
      <c r="A88" s="1"/>
      <c r="B88" s="10"/>
      <c r="C88" s="10"/>
      <c r="D88" s="10"/>
      <c r="E88" s="10"/>
      <c r="F88" s="1"/>
      <c r="G88" s="1"/>
      <c r="H88" s="1"/>
      <c r="I88" s="1"/>
      <c r="J88" s="1"/>
      <c r="K88" s="1"/>
      <c r="L88" s="1"/>
    </row>
    <row r="89" ht="27.75" customHeight="1">
      <c r="A89" s="1"/>
      <c r="B89" s="10"/>
      <c r="C89" s="10"/>
      <c r="D89" s="10"/>
      <c r="E89" s="10"/>
      <c r="F89" s="1"/>
      <c r="G89" s="1"/>
      <c r="H89" s="1"/>
      <c r="I89" s="1"/>
      <c r="J89" s="1"/>
      <c r="K89" s="1"/>
      <c r="L89" s="1"/>
    </row>
    <row r="90" ht="27.75" customHeight="1">
      <c r="A90" s="1"/>
      <c r="B90" s="10"/>
      <c r="C90" s="10"/>
      <c r="D90" s="10"/>
      <c r="E90" s="10"/>
      <c r="F90" s="1"/>
      <c r="G90" s="1"/>
      <c r="H90" s="1"/>
      <c r="I90" s="1"/>
      <c r="J90" s="1"/>
      <c r="K90" s="1"/>
      <c r="L90" s="1"/>
    </row>
    <row r="91" ht="27.75" customHeight="1">
      <c r="A91" s="1"/>
      <c r="B91" s="10"/>
      <c r="C91" s="10"/>
      <c r="D91" s="10"/>
      <c r="E91" s="10"/>
      <c r="F91" s="1"/>
      <c r="G91" s="1"/>
      <c r="H91" s="1"/>
      <c r="I91" s="1"/>
      <c r="J91" s="1"/>
      <c r="K91" s="1"/>
      <c r="L91" s="1"/>
    </row>
    <row r="92" ht="27.75" customHeight="1">
      <c r="A92" s="1"/>
      <c r="B92" s="10"/>
      <c r="C92" s="10"/>
      <c r="D92" s="10"/>
      <c r="E92" s="10"/>
      <c r="F92" s="1"/>
      <c r="G92" s="1"/>
      <c r="H92" s="1"/>
      <c r="I92" s="1"/>
      <c r="J92" s="1"/>
      <c r="K92" s="1"/>
      <c r="L92" s="1"/>
    </row>
    <row r="93" ht="27.75" customHeight="1">
      <c r="A93" s="1"/>
      <c r="B93" s="10"/>
      <c r="C93" s="10"/>
      <c r="D93" s="10"/>
      <c r="E93" s="10"/>
      <c r="F93" s="1"/>
      <c r="G93" s="1"/>
      <c r="H93" s="1"/>
      <c r="I93" s="1"/>
      <c r="J93" s="1"/>
      <c r="K93" s="1"/>
      <c r="L93" s="1"/>
    </row>
    <row r="94" ht="27.75" customHeight="1">
      <c r="A94" s="1"/>
      <c r="B94" s="10"/>
      <c r="C94" s="10"/>
      <c r="D94" s="10"/>
      <c r="E94" s="10"/>
      <c r="F94" s="1"/>
      <c r="G94" s="1"/>
      <c r="H94" s="1"/>
      <c r="I94" s="1"/>
      <c r="J94" s="1"/>
      <c r="K94" s="1"/>
      <c r="L94" s="1"/>
    </row>
    <row r="95" ht="27.75" customHeight="1">
      <c r="A95" s="1"/>
      <c r="B95" s="10"/>
      <c r="C95" s="10"/>
      <c r="D95" s="10"/>
      <c r="E95" s="10"/>
      <c r="F95" s="1"/>
      <c r="G95" s="1"/>
      <c r="H95" s="1"/>
      <c r="I95" s="1"/>
      <c r="J95" s="1"/>
      <c r="K95" s="1"/>
      <c r="L95" s="1"/>
    </row>
    <row r="96" ht="27.75" customHeight="1">
      <c r="A96" s="1"/>
      <c r="B96" s="10"/>
      <c r="C96" s="10"/>
      <c r="D96" s="10"/>
      <c r="E96" s="10"/>
      <c r="F96" s="1"/>
      <c r="G96" s="1"/>
      <c r="H96" s="1"/>
      <c r="I96" s="1"/>
      <c r="J96" s="1"/>
      <c r="K96" s="1"/>
      <c r="L96" s="1"/>
    </row>
    <row r="97" ht="27.75" customHeight="1">
      <c r="A97" s="1"/>
      <c r="B97" s="10"/>
      <c r="C97" s="10"/>
      <c r="D97" s="10"/>
      <c r="E97" s="10"/>
      <c r="F97" s="1"/>
      <c r="G97" s="1"/>
      <c r="H97" s="1"/>
      <c r="I97" s="1"/>
      <c r="J97" s="1"/>
      <c r="K97" s="1"/>
      <c r="L97" s="1"/>
    </row>
    <row r="98" ht="27.75" customHeight="1">
      <c r="A98" s="1"/>
      <c r="B98" s="10"/>
      <c r="C98" s="10"/>
      <c r="D98" s="10"/>
      <c r="E98" s="10"/>
      <c r="F98" s="1"/>
      <c r="G98" s="1"/>
      <c r="H98" s="1"/>
      <c r="I98" s="1"/>
      <c r="J98" s="1"/>
      <c r="K98" s="1"/>
      <c r="L98" s="1"/>
    </row>
    <row r="99" ht="27.75" customHeight="1">
      <c r="A99" s="1"/>
      <c r="B99" s="10"/>
      <c r="C99" s="10"/>
      <c r="D99" s="10"/>
      <c r="E99" s="10"/>
      <c r="F99" s="1"/>
      <c r="G99" s="1"/>
      <c r="H99" s="1"/>
      <c r="I99" s="1"/>
      <c r="J99" s="1"/>
      <c r="K99" s="1"/>
      <c r="L99" s="1"/>
    </row>
    <row r="100" ht="27.75" customHeight="1">
      <c r="A100" s="1"/>
      <c r="B100" s="10"/>
      <c r="C100" s="10"/>
      <c r="D100" s="10"/>
      <c r="E100" s="10"/>
      <c r="F100" s="1"/>
      <c r="G100" s="1"/>
      <c r="H100" s="1"/>
      <c r="I100" s="1"/>
      <c r="J100" s="1"/>
      <c r="K100" s="1"/>
      <c r="L100" s="1"/>
    </row>
    <row r="101" ht="27.75" customHeight="1">
      <c r="A101" s="1"/>
      <c r="B101" s="10"/>
      <c r="C101" s="10"/>
      <c r="D101" s="10"/>
      <c r="E101" s="10"/>
      <c r="F101" s="1"/>
      <c r="G101" s="1"/>
      <c r="H101" s="1"/>
      <c r="I101" s="1"/>
      <c r="J101" s="1"/>
      <c r="K101" s="1"/>
      <c r="L101" s="1"/>
    </row>
    <row r="102" ht="27.75" customHeight="1">
      <c r="A102" s="1"/>
      <c r="B102" s="10"/>
      <c r="C102" s="10"/>
      <c r="D102" s="10"/>
      <c r="E102" s="10"/>
      <c r="F102" s="1"/>
      <c r="G102" s="1"/>
      <c r="H102" s="1"/>
      <c r="I102" s="1"/>
      <c r="J102" s="1"/>
      <c r="K102" s="1"/>
      <c r="L102" s="1"/>
    </row>
    <row r="103" ht="27.75" customHeight="1">
      <c r="A103" s="1"/>
      <c r="B103" s="10"/>
      <c r="C103" s="10"/>
      <c r="D103" s="10"/>
      <c r="E103" s="10"/>
      <c r="F103" s="1"/>
      <c r="G103" s="1"/>
      <c r="H103" s="1"/>
      <c r="I103" s="1"/>
      <c r="J103" s="1"/>
      <c r="K103" s="1"/>
      <c r="L103" s="1"/>
    </row>
    <row r="104" ht="27.75" customHeight="1">
      <c r="A104" s="1"/>
      <c r="B104" s="10"/>
      <c r="C104" s="10"/>
      <c r="D104" s="10"/>
      <c r="E104" s="10"/>
      <c r="F104" s="1"/>
      <c r="G104" s="1"/>
      <c r="H104" s="1"/>
      <c r="I104" s="1"/>
      <c r="J104" s="1"/>
      <c r="K104" s="1"/>
      <c r="L104" s="1"/>
    </row>
    <row r="105" ht="27.75" customHeight="1">
      <c r="A105" s="1"/>
      <c r="B105" s="10"/>
      <c r="C105" s="10"/>
      <c r="D105" s="10"/>
      <c r="E105" s="10"/>
      <c r="F105" s="1"/>
      <c r="G105" s="1"/>
      <c r="H105" s="1"/>
      <c r="I105" s="1"/>
      <c r="J105" s="1"/>
      <c r="K105" s="1"/>
      <c r="L105" s="1"/>
    </row>
    <row r="106" ht="27.75" customHeight="1">
      <c r="A106" s="1"/>
      <c r="B106" s="10"/>
      <c r="C106" s="10"/>
      <c r="D106" s="10"/>
      <c r="E106" s="10"/>
      <c r="F106" s="1"/>
      <c r="G106" s="1"/>
      <c r="H106" s="1"/>
      <c r="I106" s="1"/>
      <c r="J106" s="1"/>
      <c r="K106" s="1"/>
      <c r="L106" s="1"/>
    </row>
    <row r="107" ht="27.75" customHeight="1">
      <c r="A107" s="1"/>
      <c r="B107" s="10"/>
      <c r="C107" s="10"/>
      <c r="D107" s="10"/>
      <c r="E107" s="10"/>
      <c r="F107" s="1"/>
      <c r="G107" s="1"/>
      <c r="H107" s="1"/>
      <c r="I107" s="1"/>
      <c r="J107" s="1"/>
      <c r="K107" s="1"/>
      <c r="L107" s="1"/>
    </row>
    <row r="108" ht="27.75" customHeight="1">
      <c r="A108" s="1"/>
      <c r="B108" s="10"/>
      <c r="C108" s="10"/>
      <c r="D108" s="10"/>
      <c r="E108" s="10"/>
      <c r="F108" s="1"/>
      <c r="G108" s="1"/>
      <c r="H108" s="1"/>
      <c r="I108" s="1"/>
      <c r="J108" s="1"/>
      <c r="K108" s="1"/>
      <c r="L108" s="1"/>
    </row>
    <row r="109" ht="27.75" customHeight="1">
      <c r="A109" s="1"/>
      <c r="B109" s="10"/>
      <c r="C109" s="10"/>
      <c r="D109" s="10"/>
      <c r="E109" s="10"/>
      <c r="F109" s="1"/>
      <c r="G109" s="1"/>
      <c r="H109" s="1"/>
      <c r="I109" s="1"/>
      <c r="J109" s="1"/>
      <c r="K109" s="1"/>
      <c r="L109" s="1"/>
    </row>
    <row r="110" ht="27.75" customHeight="1">
      <c r="A110" s="1"/>
      <c r="B110" s="10"/>
      <c r="C110" s="10"/>
      <c r="D110" s="10"/>
      <c r="E110" s="10"/>
      <c r="F110" s="1"/>
      <c r="G110" s="1"/>
      <c r="H110" s="1"/>
      <c r="I110" s="1"/>
      <c r="J110" s="1"/>
      <c r="K110" s="1"/>
      <c r="L110" s="1"/>
    </row>
    <row r="111" ht="27.75" customHeight="1">
      <c r="A111" s="1"/>
      <c r="B111" s="10"/>
      <c r="C111" s="10"/>
      <c r="D111" s="10"/>
      <c r="E111" s="10"/>
      <c r="F111" s="1"/>
      <c r="G111" s="1"/>
      <c r="H111" s="1"/>
      <c r="I111" s="1"/>
      <c r="J111" s="1"/>
      <c r="K111" s="1"/>
      <c r="L111" s="1"/>
    </row>
    <row r="112" ht="27.75" customHeight="1">
      <c r="A112" s="1"/>
      <c r="B112" s="10"/>
      <c r="C112" s="10"/>
      <c r="D112" s="10"/>
      <c r="E112" s="10"/>
      <c r="F112" s="1"/>
      <c r="G112" s="1"/>
      <c r="H112" s="1"/>
      <c r="I112" s="1"/>
      <c r="J112" s="1"/>
      <c r="K112" s="1"/>
      <c r="L112" s="1"/>
    </row>
    <row r="113" ht="27.75" customHeight="1">
      <c r="A113" s="1"/>
      <c r="B113" s="10"/>
      <c r="C113" s="10"/>
      <c r="D113" s="10"/>
      <c r="E113" s="10"/>
      <c r="F113" s="1"/>
      <c r="G113" s="1"/>
      <c r="H113" s="1"/>
      <c r="I113" s="1"/>
      <c r="J113" s="1"/>
      <c r="K113" s="1"/>
      <c r="L113" s="1"/>
    </row>
    <row r="114" ht="27.75" customHeight="1">
      <c r="A114" s="1"/>
      <c r="B114" s="10"/>
      <c r="C114" s="10"/>
      <c r="D114" s="10"/>
      <c r="E114" s="10"/>
      <c r="F114" s="1"/>
      <c r="G114" s="1"/>
      <c r="H114" s="1"/>
      <c r="I114" s="1"/>
      <c r="J114" s="1"/>
      <c r="K114" s="1"/>
      <c r="L114" s="1"/>
    </row>
    <row r="115" ht="27.75" customHeight="1">
      <c r="A115" s="1"/>
      <c r="B115" s="10"/>
      <c r="C115" s="10"/>
      <c r="D115" s="10"/>
      <c r="E115" s="10"/>
      <c r="F115" s="1"/>
      <c r="G115" s="1"/>
      <c r="H115" s="1"/>
      <c r="I115" s="1"/>
      <c r="J115" s="1"/>
      <c r="K115" s="1"/>
      <c r="L115" s="1"/>
    </row>
    <row r="116" ht="27.75" customHeight="1">
      <c r="A116" s="1"/>
      <c r="B116" s="10"/>
      <c r="C116" s="10"/>
      <c r="D116" s="10"/>
      <c r="E116" s="10"/>
      <c r="F116" s="1"/>
      <c r="G116" s="1"/>
      <c r="H116" s="1"/>
      <c r="I116" s="1"/>
      <c r="J116" s="1"/>
      <c r="K116" s="1"/>
      <c r="L116" s="1"/>
    </row>
    <row r="117" ht="27.75" customHeight="1">
      <c r="A117" s="1"/>
      <c r="B117" s="10"/>
      <c r="C117" s="10"/>
      <c r="D117" s="10"/>
      <c r="E117" s="10"/>
      <c r="F117" s="1"/>
      <c r="G117" s="1"/>
      <c r="H117" s="1"/>
      <c r="I117" s="1"/>
      <c r="J117" s="1"/>
      <c r="K117" s="1"/>
      <c r="L117" s="1"/>
    </row>
    <row r="118" ht="27.75" customHeight="1">
      <c r="A118" s="1"/>
      <c r="B118" s="10"/>
      <c r="C118" s="10"/>
      <c r="D118" s="10"/>
      <c r="E118" s="10"/>
      <c r="F118" s="1"/>
      <c r="G118" s="1"/>
      <c r="H118" s="1"/>
      <c r="I118" s="1"/>
      <c r="J118" s="1"/>
      <c r="K118" s="1"/>
      <c r="L118" s="1"/>
    </row>
    <row r="119" ht="27.75" customHeight="1">
      <c r="A119" s="1"/>
      <c r="B119" s="10"/>
      <c r="C119" s="10"/>
      <c r="D119" s="10"/>
      <c r="E119" s="10"/>
      <c r="F119" s="1"/>
      <c r="G119" s="1"/>
      <c r="H119" s="1"/>
      <c r="I119" s="1"/>
      <c r="J119" s="1"/>
      <c r="K119" s="1"/>
      <c r="L119" s="1"/>
    </row>
    <row r="120" ht="27.75" customHeight="1">
      <c r="A120" s="1"/>
      <c r="B120" s="10"/>
      <c r="C120" s="10"/>
      <c r="D120" s="10"/>
      <c r="E120" s="10"/>
      <c r="F120" s="1"/>
      <c r="G120" s="1"/>
      <c r="H120" s="1"/>
      <c r="I120" s="1"/>
      <c r="J120" s="1"/>
      <c r="K120" s="1"/>
      <c r="L120" s="1"/>
    </row>
    <row r="121" ht="27.75" customHeight="1">
      <c r="A121" s="1"/>
      <c r="B121" s="10"/>
      <c r="C121" s="10"/>
      <c r="D121" s="10"/>
      <c r="E121" s="10"/>
      <c r="F121" s="1"/>
      <c r="G121" s="1"/>
      <c r="H121" s="1"/>
      <c r="I121" s="1"/>
      <c r="J121" s="1"/>
      <c r="K121" s="1"/>
      <c r="L121" s="1"/>
    </row>
    <row r="122" ht="27.75" customHeight="1">
      <c r="A122" s="1"/>
      <c r="B122" s="10"/>
      <c r="C122" s="10"/>
      <c r="D122" s="10"/>
      <c r="E122" s="10"/>
      <c r="F122" s="1"/>
      <c r="G122" s="1"/>
      <c r="H122" s="1"/>
      <c r="I122" s="1"/>
      <c r="J122" s="1"/>
      <c r="K122" s="1"/>
      <c r="L122" s="1"/>
    </row>
    <row r="123" ht="27.75" customHeight="1">
      <c r="A123" s="1"/>
      <c r="B123" s="10"/>
      <c r="C123" s="10"/>
      <c r="D123" s="10"/>
      <c r="E123" s="10"/>
      <c r="F123" s="1"/>
      <c r="G123" s="1"/>
      <c r="H123" s="1"/>
      <c r="I123" s="1"/>
      <c r="J123" s="1"/>
      <c r="K123" s="1"/>
      <c r="L123" s="1"/>
    </row>
    <row r="124" ht="27.75" customHeight="1">
      <c r="A124" s="1"/>
      <c r="B124" s="10"/>
      <c r="C124" s="10"/>
      <c r="D124" s="10"/>
      <c r="E124" s="10"/>
      <c r="F124" s="1"/>
      <c r="G124" s="1"/>
      <c r="H124" s="1"/>
      <c r="I124" s="1"/>
      <c r="J124" s="1"/>
      <c r="K124" s="1"/>
      <c r="L124" s="1"/>
    </row>
    <row r="125" ht="27.75" customHeight="1">
      <c r="A125" s="1"/>
      <c r="B125" s="10"/>
      <c r="C125" s="10"/>
      <c r="D125" s="10"/>
      <c r="E125" s="10"/>
      <c r="F125" s="1"/>
      <c r="G125" s="1"/>
      <c r="H125" s="1"/>
      <c r="I125" s="1"/>
      <c r="J125" s="1"/>
      <c r="K125" s="1"/>
      <c r="L125" s="1"/>
    </row>
    <row r="126" ht="27.75" customHeight="1">
      <c r="A126" s="1"/>
      <c r="B126" s="10"/>
      <c r="C126" s="10"/>
      <c r="D126" s="10"/>
      <c r="E126" s="10"/>
      <c r="F126" s="1"/>
      <c r="G126" s="1"/>
      <c r="H126" s="1"/>
      <c r="I126" s="1"/>
      <c r="J126" s="1"/>
      <c r="K126" s="1"/>
      <c r="L126" s="1"/>
    </row>
    <row r="127" ht="27.75" customHeight="1">
      <c r="A127" s="1"/>
      <c r="B127" s="10"/>
      <c r="C127" s="10"/>
      <c r="D127" s="10"/>
      <c r="E127" s="10"/>
      <c r="F127" s="1"/>
      <c r="G127" s="1"/>
      <c r="H127" s="1"/>
      <c r="I127" s="1"/>
      <c r="J127" s="1"/>
      <c r="K127" s="1"/>
      <c r="L127" s="1"/>
    </row>
    <row r="128" ht="27.75" customHeight="1">
      <c r="A128" s="1"/>
      <c r="B128" s="10"/>
      <c r="C128" s="10"/>
      <c r="D128" s="10"/>
      <c r="E128" s="10"/>
      <c r="F128" s="1"/>
      <c r="G128" s="1"/>
      <c r="H128" s="1"/>
      <c r="I128" s="1"/>
      <c r="J128" s="1"/>
      <c r="K128" s="1"/>
      <c r="L128" s="1"/>
    </row>
    <row r="129" ht="27.75" customHeight="1">
      <c r="A129" s="1"/>
      <c r="B129" s="10"/>
      <c r="C129" s="10"/>
      <c r="D129" s="10"/>
      <c r="E129" s="10"/>
      <c r="F129" s="1"/>
      <c r="G129" s="1"/>
      <c r="H129" s="1"/>
      <c r="I129" s="1"/>
      <c r="J129" s="1"/>
      <c r="K129" s="1"/>
      <c r="L129" s="1"/>
    </row>
    <row r="130" ht="27.75" customHeight="1">
      <c r="A130" s="1"/>
      <c r="B130" s="10"/>
      <c r="C130" s="10"/>
      <c r="D130" s="10"/>
      <c r="E130" s="10"/>
      <c r="F130" s="1"/>
      <c r="G130" s="1"/>
      <c r="H130" s="1"/>
      <c r="I130" s="1"/>
      <c r="J130" s="1"/>
      <c r="K130" s="1"/>
      <c r="L130" s="1"/>
    </row>
    <row r="131" ht="27.75" customHeight="1">
      <c r="A131" s="1"/>
      <c r="B131" s="10"/>
      <c r="C131" s="10"/>
      <c r="D131" s="10"/>
      <c r="E131" s="10"/>
      <c r="F131" s="1"/>
      <c r="G131" s="1"/>
      <c r="H131" s="1"/>
      <c r="I131" s="1"/>
      <c r="J131" s="1"/>
      <c r="K131" s="1"/>
      <c r="L131" s="1"/>
    </row>
    <row r="132" ht="27.75" customHeight="1">
      <c r="A132" s="1"/>
      <c r="B132" s="10"/>
      <c r="C132" s="10"/>
      <c r="D132" s="10"/>
      <c r="E132" s="10"/>
      <c r="F132" s="1"/>
      <c r="G132" s="1"/>
      <c r="H132" s="1"/>
      <c r="I132" s="1"/>
      <c r="J132" s="1"/>
      <c r="K132" s="1"/>
      <c r="L132" s="1"/>
    </row>
    <row r="133" ht="27.75" customHeight="1">
      <c r="A133" s="1"/>
      <c r="B133" s="10"/>
      <c r="C133" s="10"/>
      <c r="D133" s="10"/>
      <c r="E133" s="10"/>
      <c r="F133" s="1"/>
      <c r="G133" s="1"/>
      <c r="H133" s="1"/>
      <c r="I133" s="1"/>
      <c r="J133" s="1"/>
      <c r="K133" s="1"/>
      <c r="L133" s="1"/>
    </row>
    <row r="134" ht="27.75" customHeight="1">
      <c r="A134" s="1"/>
      <c r="B134" s="10"/>
      <c r="C134" s="10"/>
      <c r="D134" s="10"/>
      <c r="E134" s="10"/>
      <c r="F134" s="1"/>
      <c r="G134" s="1" t="s">
        <v>126</v>
      </c>
      <c r="H134" s="1"/>
      <c r="I134" s="1"/>
      <c r="J134" s="1"/>
      <c r="K134" s="1"/>
      <c r="L134" s="1"/>
    </row>
    <row r="135" ht="24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ht="24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ht="24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ht="24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</sheetData>
  <mergeCells count="1">
    <mergeCell ref="B2:L2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4252"/>
    <pageSetUpPr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18" width="13.0"/>
  </cols>
  <sheetData>
    <row r="1" ht="24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4.75" customHeight="1">
      <c r="A2" s="1"/>
      <c r="B2" s="2" t="s">
        <v>103</v>
      </c>
    </row>
    <row r="3" ht="24.75" customHeight="1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ht="24.75" customHeight="1">
      <c r="A4" s="1"/>
      <c r="B4" s="1"/>
      <c r="C4" s="59">
        <f t="array" ref="C4">IF('Resumen financiero'!I4="Todo el año",DATE('Resumen financiero'!E4,1,1),DATE('Resumen financiero'!E4,MATCH('Resumen financiero'!I4,{"Enero","Febrero","Marzo","Abril","Mayo","Junio","Julio","Agosto","Septiembre","Octubre","Noviembre","Diciembre"},0),1))</f>
        <v>46023</v>
      </c>
      <c r="D4" s="1">
        <f>MIN(IF('Resumen financiero'!I4="Todo el año",DATE('Resumen financiero'!E4+1,1,1),EDATE(C4,1)),'Configuración'!$C$7+1)</f>
        <v>46024</v>
      </c>
      <c r="E4" s="1">
        <f>IF('Resumen financiero'!Q4="Todas",SUMIFS('Cálculos'!$K$9:$K$128,'Cálculos'!$C$9:$C$128,"&gt;="&amp;C4,'Cálculos'!$C$9:$C$128,"&lt;"&amp;D4),SUMIFS('Cálculos'!$K$9:$K$128,'Cálculos'!$C$9:$C$128,"&gt;="&amp;C4,'Cálculos'!$C$9:$C$128,"&lt;"&amp;D4,'Cálculos'!$N$9:$N$128,'Resumen financiero'!Q4))</f>
        <v>0</v>
      </c>
      <c r="F4" s="1">
        <f>IF('Resumen financiero'!Q4="Todas",SUMIFS('Cálculos'!$L$9:$L$128,'Cálculos'!$C$9:$C$128,"&gt;="&amp;C4,'Cálculos'!$C$9:$C$128,"&lt;"&amp;D4),SUMIFS('Cálculos'!$L$9:$L$128,'Cálculos'!$C$9:$C$128,"&gt;="&amp;C4,'Cálculos'!$C$9:$C$128,"&lt;"&amp;D4,'Cálculos'!$N$9:$N$128,'Resumen financiero'!Q4))</f>
        <v>0</v>
      </c>
      <c r="G4" s="1">
        <f>E4-F4</f>
        <v>0</v>
      </c>
      <c r="H4" s="1" t="str">
        <f>IF(E4=0,"",G4/E4)</f>
        <v/>
      </c>
      <c r="I4" s="1" t="str">
        <f t="array" ref="I4">IF(Inversiones!D4="Todos","",INDEX(tProductos[ID],MATCH(Inversiones!D4,tProductos[Producto],0)))</f>
        <v/>
      </c>
      <c r="J4" s="1" t="str">
        <f>IF(COUNT('Inflación'!E6:E10)&lt;5,"",(1+'Inflación'!E8)^(1/12)-1)</f>
        <v/>
      </c>
      <c r="K4" s="1"/>
      <c r="L4" s="1"/>
      <c r="M4" s="1"/>
      <c r="N4" s="1"/>
      <c r="O4" s="1"/>
      <c r="P4" s="1"/>
      <c r="Q4" s="1"/>
      <c r="R4" s="1"/>
    </row>
    <row r="5" ht="24.75" customHeight="1">
      <c r="A5" s="1"/>
      <c r="B5" s="1"/>
      <c r="C5" s="1">
        <f>SUMIFS('Cálculos'!$M$9:$M$128,'Cálculos'!$C$9:$C$128,"&gt;="&amp;'Configuración'!$C$6,'Cálculos'!$C$9:$C$128,"&lt;="&amp;'Configuración'!$C$7)</f>
        <v>0</v>
      </c>
      <c r="D5" s="39">
        <f>IF(COUNT(tProductos[Valor])&lt;&gt;COUNTA(tProductos[ID]),"",SUM(tProductos[Valor]))</f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ht="24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ht="24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ht="24.75" customHeight="1">
      <c r="A8" s="1"/>
      <c r="B8" s="1" t="s">
        <v>2</v>
      </c>
      <c r="C8" s="1" t="s">
        <v>4</v>
      </c>
      <c r="D8" s="1" t="s">
        <v>6</v>
      </c>
      <c r="E8" s="1" t="s">
        <v>9</v>
      </c>
      <c r="F8" s="1" t="s">
        <v>101</v>
      </c>
      <c r="G8" s="1" t="s">
        <v>11</v>
      </c>
      <c r="H8" s="1" t="s">
        <v>13</v>
      </c>
      <c r="I8" s="1" t="s">
        <v>14</v>
      </c>
      <c r="J8" s="1" t="s">
        <v>16</v>
      </c>
      <c r="K8" s="1" t="s">
        <v>29</v>
      </c>
      <c r="L8" s="1" t="s">
        <v>120</v>
      </c>
      <c r="M8" s="1" t="s">
        <v>121</v>
      </c>
      <c r="N8" s="1" t="s">
        <v>3</v>
      </c>
      <c r="O8" s="1"/>
      <c r="P8" s="1" t="s">
        <v>122</v>
      </c>
      <c r="Q8" s="1" t="s">
        <v>123</v>
      </c>
      <c r="R8" s="1"/>
      <c r="T8" s="60"/>
    </row>
    <row r="9" ht="24.75" customHeight="1">
      <c r="A9" s="1"/>
      <c r="B9" s="1" t="str">
        <f>IF(OR(Movimientos!B9="",Movimientos!B9=""),"",Movimientos!B9)</f>
        <v/>
      </c>
      <c r="C9" s="36" t="str">
        <f>IF(OR(Movimientos!B9="",Movimientos!C9=""),"",Movimientos!C9)</f>
        <v/>
      </c>
      <c r="D9" s="1" t="str">
        <f>IF(OR(Movimientos!B9="",Movimientos!D9=""),"",Movimientos!D9)</f>
        <v/>
      </c>
      <c r="E9" s="1" t="str">
        <f>IF(OR(Movimientos!B9="",Movimientos!F9=""),"",Movimientos!F9)</f>
        <v/>
      </c>
      <c r="F9" s="1" t="str">
        <f t="array" ref="F9">IF(E9="","",INDEX('Configuración'!$D$15:$D$134,MATCH(E9,'Configuración'!$E$15:$E$134,0)))</f>
        <v/>
      </c>
      <c r="G9" s="1" t="str">
        <f>IF(OR(Movimientos!B9="",Movimientos!G9=""),"",Movimientos!G9)</f>
        <v/>
      </c>
      <c r="H9" s="1" t="str">
        <f>IF(OR(Movimientos!B9="",Movimientos!H9=""),"",Movimientos!H9)</f>
        <v/>
      </c>
      <c r="I9" s="54" t="str">
        <f>IF(OR(Movimientos!B9="",Movimientos!I9=""),"",Movimientos!I9)</f>
        <v/>
      </c>
      <c r="J9" s="54" t="str">
        <f>IF(OR(Movimientos!B9="",Movimientos!J9=""),"",Movimientos!J9)</f>
        <v/>
      </c>
      <c r="K9" s="54" t="str">
        <f t="shared" ref="K9:K128" si="1">IF(B9="","",IF(OR(D9="Ingreso",D9="Rendimiento inversión"),I9,0))</f>
        <v/>
      </c>
      <c r="L9" s="54" t="str">
        <f t="shared" ref="L9:L128" si="2">IF(B9="","",IF(D9="Gasto",I9-J9,IF(D9="Devolución gasto",-I9+J9,0)))</f>
        <v/>
      </c>
      <c r="M9" s="54" t="str">
        <f t="shared" ref="M9:M128" si="3">IF(B9="","",IF(D9="Gasto",J9,IF(D9="Cobro compartido",-I9,IF(D9="Devolución gasto",-J9,0))))</f>
        <v/>
      </c>
      <c r="N9" s="1" t="str">
        <f t="shared" ref="N9:N128" si="4">IF(B9="","",IF(G9&lt;&gt;"",G9,H9))</f>
        <v/>
      </c>
      <c r="O9" s="1"/>
      <c r="P9" s="1" t="s">
        <v>24</v>
      </c>
      <c r="Q9" s="1" t="s">
        <v>34</v>
      </c>
      <c r="R9" s="1"/>
      <c r="T9" s="61" t="str">
        <f>"Todas"</f>
        <v>Todas</v>
      </c>
      <c r="U9" s="61" t="str">
        <f>"Todos"</f>
        <v>Todos</v>
      </c>
    </row>
    <row r="10" ht="24.75" customHeight="1">
      <c r="A10" s="1"/>
      <c r="B10" s="1" t="str">
        <f>IF(OR(Movimientos!B10="",Movimientos!B10=""),"",Movimientos!B10)</f>
        <v/>
      </c>
      <c r="C10" s="36" t="str">
        <f>IF(OR(Movimientos!B10="",Movimientos!C10=""),"",Movimientos!C10)</f>
        <v/>
      </c>
      <c r="D10" s="1" t="str">
        <f>IF(OR(Movimientos!B10="",Movimientos!D10=""),"",Movimientos!D10)</f>
        <v/>
      </c>
      <c r="E10" s="1" t="str">
        <f>IF(OR(Movimientos!B10="",Movimientos!F10=""),"",Movimientos!F10)</f>
        <v/>
      </c>
      <c r="F10" s="1" t="str">
        <f t="array" ref="F10">IF(E10="","",INDEX('Configuración'!$D$15:$D$134,MATCH(E10,'Configuración'!$E$15:$E$134,0)))</f>
        <v/>
      </c>
      <c r="G10" s="1" t="str">
        <f>IF(OR(Movimientos!B10="",Movimientos!G10=""),"",Movimientos!G10)</f>
        <v/>
      </c>
      <c r="H10" s="1" t="str">
        <f>IF(OR(Movimientos!B10="",Movimientos!H10=""),"",Movimientos!H10)</f>
        <v/>
      </c>
      <c r="I10" s="54" t="str">
        <f>IF(OR(Movimientos!B10="",Movimientos!I10=""),"",Movimientos!I10)</f>
        <v/>
      </c>
      <c r="J10" s="54" t="str">
        <f>IF(OR(Movimientos!B10="",Movimientos!J10=""),"",Movimientos!J10)</f>
        <v/>
      </c>
      <c r="K10" s="54" t="str">
        <f t="shared" si="1"/>
        <v/>
      </c>
      <c r="L10" s="54" t="str">
        <f t="shared" si="2"/>
        <v/>
      </c>
      <c r="M10" s="54" t="str">
        <f t="shared" si="3"/>
        <v/>
      </c>
      <c r="N10" s="1" t="str">
        <f t="shared" si="4"/>
        <v/>
      </c>
      <c r="O10" s="1"/>
      <c r="P10" s="1"/>
      <c r="Q10" s="1"/>
      <c r="R10" s="1"/>
      <c r="T10" s="61" t="str">
        <f>IFERROR(__xludf.DUMMYFUNCTION("IFERROR(FILTER(Cuentas!$B$9:$B$128,Cuentas!$B$9:$B$128&lt;&gt;""""),"""")"),"")</f>
        <v/>
      </c>
      <c r="U10" s="61" t="str">
        <f>IFERROR(__xludf.DUMMYFUNCTION("IFERROR(FILTER(Inversiones!$C$30:$C$149,Inversiones!$B$30:$B$149&lt;&gt;""""),"""")"),"")</f>
        <v/>
      </c>
    </row>
    <row r="11" ht="24.75" customHeight="1">
      <c r="A11" s="1"/>
      <c r="B11" s="1" t="str">
        <f>IF(OR(Movimientos!B11="",Movimientos!B11=""),"",Movimientos!B11)</f>
        <v/>
      </c>
      <c r="C11" s="36" t="str">
        <f>IF(OR(Movimientos!B11="",Movimientos!C11=""),"",Movimientos!C11)</f>
        <v/>
      </c>
      <c r="D11" s="1" t="str">
        <f>IF(OR(Movimientos!B11="",Movimientos!D11=""),"",Movimientos!D11)</f>
        <v/>
      </c>
      <c r="E11" s="1" t="str">
        <f>IF(OR(Movimientos!B11="",Movimientos!F11=""),"",Movimientos!F11)</f>
        <v/>
      </c>
      <c r="F11" s="1" t="str">
        <f t="array" ref="F11">IF(E11="","",INDEX('Configuración'!$D$15:$D$134,MATCH(E11,'Configuración'!$E$15:$E$134,0)))</f>
        <v/>
      </c>
      <c r="G11" s="1" t="str">
        <f>IF(OR(Movimientos!B11="",Movimientos!G11=""),"",Movimientos!G11)</f>
        <v/>
      </c>
      <c r="H11" s="1" t="str">
        <f>IF(OR(Movimientos!B11="",Movimientos!H11=""),"",Movimientos!H11)</f>
        <v/>
      </c>
      <c r="I11" s="54" t="str">
        <f>IF(OR(Movimientos!B11="",Movimientos!I11=""),"",Movimientos!I11)</f>
        <v/>
      </c>
      <c r="J11" s="54" t="str">
        <f>IF(OR(Movimientos!B11="",Movimientos!J11=""),"",Movimientos!J11)</f>
        <v/>
      </c>
      <c r="K11" s="54" t="str">
        <f t="shared" si="1"/>
        <v/>
      </c>
      <c r="L11" s="54" t="str">
        <f t="shared" si="2"/>
        <v/>
      </c>
      <c r="M11" s="54" t="str">
        <f t="shared" si="3"/>
        <v/>
      </c>
      <c r="N11" s="1" t="str">
        <f t="shared" si="4"/>
        <v/>
      </c>
      <c r="O11" s="1"/>
      <c r="P11" s="1"/>
      <c r="Q11" s="1"/>
      <c r="R11" s="1"/>
    </row>
    <row r="12" ht="24.75" customHeight="1">
      <c r="A12" s="1"/>
      <c r="B12" s="1" t="str">
        <f>IF(OR(Movimientos!B12="",Movimientos!B12=""),"",Movimientos!B12)</f>
        <v/>
      </c>
      <c r="C12" s="36" t="str">
        <f>IF(OR(Movimientos!B12="",Movimientos!C12=""),"",Movimientos!C12)</f>
        <v/>
      </c>
      <c r="D12" s="1" t="str">
        <f>IF(OR(Movimientos!B12="",Movimientos!D12=""),"",Movimientos!D12)</f>
        <v/>
      </c>
      <c r="E12" s="1" t="str">
        <f>IF(OR(Movimientos!B12="",Movimientos!F12=""),"",Movimientos!F12)</f>
        <v/>
      </c>
      <c r="F12" s="1" t="str">
        <f t="array" ref="F12">IF(E12="","",INDEX('Configuración'!$D$15:$D$134,MATCH(E12,'Configuración'!$E$15:$E$134,0)))</f>
        <v/>
      </c>
      <c r="G12" s="1" t="str">
        <f>IF(OR(Movimientos!B12="",Movimientos!G12=""),"",Movimientos!G12)</f>
        <v/>
      </c>
      <c r="H12" s="1" t="str">
        <f>IF(OR(Movimientos!B12="",Movimientos!H12=""),"",Movimientos!H12)</f>
        <v/>
      </c>
      <c r="I12" s="54" t="str">
        <f>IF(OR(Movimientos!B12="",Movimientos!I12=""),"",Movimientos!I12)</f>
        <v/>
      </c>
      <c r="J12" s="54" t="str">
        <f>IF(OR(Movimientos!B12="",Movimientos!J12=""),"",Movimientos!J12)</f>
        <v/>
      </c>
      <c r="K12" s="54" t="str">
        <f t="shared" si="1"/>
        <v/>
      </c>
      <c r="L12" s="54" t="str">
        <f t="shared" si="2"/>
        <v/>
      </c>
      <c r="M12" s="54" t="str">
        <f t="shared" si="3"/>
        <v/>
      </c>
      <c r="N12" s="1" t="str">
        <f t="shared" si="4"/>
        <v/>
      </c>
      <c r="O12" s="1"/>
      <c r="P12" s="1"/>
      <c r="Q12" s="1"/>
      <c r="R12" s="1"/>
    </row>
    <row r="13" ht="24.75" customHeight="1">
      <c r="A13" s="1"/>
      <c r="B13" s="1" t="str">
        <f>IF(OR(Movimientos!B13="",Movimientos!B13=""),"",Movimientos!B13)</f>
        <v/>
      </c>
      <c r="C13" s="36" t="str">
        <f>IF(OR(Movimientos!B13="",Movimientos!C13=""),"",Movimientos!C13)</f>
        <v/>
      </c>
      <c r="D13" s="1" t="str">
        <f>IF(OR(Movimientos!B13="",Movimientos!D13=""),"",Movimientos!D13)</f>
        <v/>
      </c>
      <c r="E13" s="1" t="str">
        <f>IF(OR(Movimientos!B13="",Movimientos!F13=""),"",Movimientos!F13)</f>
        <v/>
      </c>
      <c r="F13" s="1" t="str">
        <f t="array" ref="F13">IF(E13="","",INDEX('Configuración'!$D$15:$D$134,MATCH(E13,'Configuración'!$E$15:$E$134,0)))</f>
        <v/>
      </c>
      <c r="G13" s="1" t="str">
        <f>IF(OR(Movimientos!B13="",Movimientos!G13=""),"",Movimientos!G13)</f>
        <v/>
      </c>
      <c r="H13" s="1" t="str">
        <f>IF(OR(Movimientos!B13="",Movimientos!H13=""),"",Movimientos!H13)</f>
        <v/>
      </c>
      <c r="I13" s="54" t="str">
        <f>IF(OR(Movimientos!B13="",Movimientos!I13=""),"",Movimientos!I13)</f>
        <v/>
      </c>
      <c r="J13" s="54" t="str">
        <f>IF(OR(Movimientos!B13="",Movimientos!J13=""),"",Movimientos!J13)</f>
        <v/>
      </c>
      <c r="K13" s="54" t="str">
        <f t="shared" si="1"/>
        <v/>
      </c>
      <c r="L13" s="54" t="str">
        <f t="shared" si="2"/>
        <v/>
      </c>
      <c r="M13" s="54" t="str">
        <f t="shared" si="3"/>
        <v/>
      </c>
      <c r="N13" s="1" t="str">
        <f t="shared" si="4"/>
        <v/>
      </c>
      <c r="O13" s="1"/>
      <c r="P13" s="1"/>
      <c r="Q13" s="1"/>
      <c r="R13" s="1"/>
    </row>
    <row r="14" ht="24.75" customHeight="1">
      <c r="A14" s="1"/>
      <c r="B14" s="1" t="str">
        <f>IF(OR(Movimientos!B14="",Movimientos!B14=""),"",Movimientos!B14)</f>
        <v/>
      </c>
      <c r="C14" s="36" t="str">
        <f>IF(OR(Movimientos!B14="",Movimientos!C14=""),"",Movimientos!C14)</f>
        <v/>
      </c>
      <c r="D14" s="1" t="str">
        <f>IF(OR(Movimientos!B14="",Movimientos!D14=""),"",Movimientos!D14)</f>
        <v/>
      </c>
      <c r="E14" s="1" t="str">
        <f>IF(OR(Movimientos!B14="",Movimientos!F14=""),"",Movimientos!F14)</f>
        <v/>
      </c>
      <c r="F14" s="1" t="str">
        <f t="array" ref="F14">IF(E14="","",INDEX('Configuración'!$D$15:$D$134,MATCH(E14,'Configuración'!$E$15:$E$134,0)))</f>
        <v/>
      </c>
      <c r="G14" s="1" t="str">
        <f>IF(OR(Movimientos!B14="",Movimientos!G14=""),"",Movimientos!G14)</f>
        <v/>
      </c>
      <c r="H14" s="1" t="str">
        <f>IF(OR(Movimientos!B14="",Movimientos!H14=""),"",Movimientos!H14)</f>
        <v/>
      </c>
      <c r="I14" s="54" t="str">
        <f>IF(OR(Movimientos!B14="",Movimientos!I14=""),"",Movimientos!I14)</f>
        <v/>
      </c>
      <c r="J14" s="54" t="str">
        <f>IF(OR(Movimientos!B14="",Movimientos!J14=""),"",Movimientos!J14)</f>
        <v/>
      </c>
      <c r="K14" s="54" t="str">
        <f t="shared" si="1"/>
        <v/>
      </c>
      <c r="L14" s="54" t="str">
        <f t="shared" si="2"/>
        <v/>
      </c>
      <c r="M14" s="54" t="str">
        <f t="shared" si="3"/>
        <v/>
      </c>
      <c r="N14" s="1" t="str">
        <f t="shared" si="4"/>
        <v/>
      </c>
      <c r="O14" s="1"/>
      <c r="P14" s="1"/>
      <c r="Q14" s="1"/>
      <c r="R14" s="1"/>
    </row>
    <row r="15" ht="24.75" customHeight="1">
      <c r="A15" s="1"/>
      <c r="B15" s="1" t="str">
        <f>IF(OR(Movimientos!B15="",Movimientos!B15=""),"",Movimientos!B15)</f>
        <v/>
      </c>
      <c r="C15" s="36" t="str">
        <f>IF(OR(Movimientos!B15="",Movimientos!C15=""),"",Movimientos!C15)</f>
        <v/>
      </c>
      <c r="D15" s="1" t="str">
        <f>IF(OR(Movimientos!B15="",Movimientos!D15=""),"",Movimientos!D15)</f>
        <v/>
      </c>
      <c r="E15" s="1" t="str">
        <f>IF(OR(Movimientos!B15="",Movimientos!F15=""),"",Movimientos!F15)</f>
        <v/>
      </c>
      <c r="F15" s="1" t="str">
        <f t="array" ref="F15">IF(E15="","",INDEX('Configuración'!$D$15:$D$134,MATCH(E15,'Configuración'!$E$15:$E$134,0)))</f>
        <v/>
      </c>
      <c r="G15" s="1" t="str">
        <f>IF(OR(Movimientos!B15="",Movimientos!G15=""),"",Movimientos!G15)</f>
        <v/>
      </c>
      <c r="H15" s="1" t="str">
        <f>IF(OR(Movimientos!B15="",Movimientos!H15=""),"",Movimientos!H15)</f>
        <v/>
      </c>
      <c r="I15" s="54" t="str">
        <f>IF(OR(Movimientos!B15="",Movimientos!I15=""),"",Movimientos!I15)</f>
        <v/>
      </c>
      <c r="J15" s="54" t="str">
        <f>IF(OR(Movimientos!B15="",Movimientos!J15=""),"",Movimientos!J15)</f>
        <v/>
      </c>
      <c r="K15" s="54" t="str">
        <f t="shared" si="1"/>
        <v/>
      </c>
      <c r="L15" s="54" t="str">
        <f t="shared" si="2"/>
        <v/>
      </c>
      <c r="M15" s="54" t="str">
        <f t="shared" si="3"/>
        <v/>
      </c>
      <c r="N15" s="1" t="str">
        <f t="shared" si="4"/>
        <v/>
      </c>
      <c r="O15" s="1"/>
      <c r="P15" s="1"/>
      <c r="Q15" s="1"/>
      <c r="R15" s="1"/>
    </row>
    <row r="16" ht="24.75" customHeight="1">
      <c r="A16" s="1"/>
      <c r="B16" s="1" t="str">
        <f>IF(OR(Movimientos!B16="",Movimientos!B16=""),"",Movimientos!B16)</f>
        <v/>
      </c>
      <c r="C16" s="36" t="str">
        <f>IF(OR(Movimientos!B16="",Movimientos!C16=""),"",Movimientos!C16)</f>
        <v/>
      </c>
      <c r="D16" s="1" t="str">
        <f>IF(OR(Movimientos!B16="",Movimientos!D16=""),"",Movimientos!D16)</f>
        <v/>
      </c>
      <c r="E16" s="1" t="str">
        <f>IF(OR(Movimientos!B16="",Movimientos!F16=""),"",Movimientos!F16)</f>
        <v/>
      </c>
      <c r="F16" s="1" t="str">
        <f t="array" ref="F16">IF(E16="","",INDEX('Configuración'!$D$15:$D$134,MATCH(E16,'Configuración'!$E$15:$E$134,0)))</f>
        <v/>
      </c>
      <c r="G16" s="1" t="str">
        <f>IF(OR(Movimientos!B16="",Movimientos!G16=""),"",Movimientos!G16)</f>
        <v/>
      </c>
      <c r="H16" s="1" t="str">
        <f>IF(OR(Movimientos!B16="",Movimientos!H16=""),"",Movimientos!H16)</f>
        <v/>
      </c>
      <c r="I16" s="54" t="str">
        <f>IF(OR(Movimientos!B16="",Movimientos!I16=""),"",Movimientos!I16)</f>
        <v/>
      </c>
      <c r="J16" s="54" t="str">
        <f>IF(OR(Movimientos!B16="",Movimientos!J16=""),"",Movimientos!J16)</f>
        <v/>
      </c>
      <c r="K16" s="54" t="str">
        <f t="shared" si="1"/>
        <v/>
      </c>
      <c r="L16" s="54" t="str">
        <f t="shared" si="2"/>
        <v/>
      </c>
      <c r="M16" s="54" t="str">
        <f t="shared" si="3"/>
        <v/>
      </c>
      <c r="N16" s="1" t="str">
        <f t="shared" si="4"/>
        <v/>
      </c>
      <c r="O16" s="1"/>
      <c r="P16" s="1" t="s">
        <v>17</v>
      </c>
      <c r="Q16" s="1" t="s">
        <v>120</v>
      </c>
      <c r="R16" s="1"/>
    </row>
    <row r="17" ht="24.75" customHeight="1">
      <c r="A17" s="1"/>
      <c r="B17" s="1" t="str">
        <f>IF(OR(Movimientos!B17="",Movimientos!B17=""),"",Movimientos!B17)</f>
        <v/>
      </c>
      <c r="C17" s="36" t="str">
        <f>IF(OR(Movimientos!B17="",Movimientos!C17=""),"",Movimientos!C17)</f>
        <v/>
      </c>
      <c r="D17" s="1" t="str">
        <f>IF(OR(Movimientos!B17="",Movimientos!D17=""),"",Movimientos!D17)</f>
        <v/>
      </c>
      <c r="E17" s="1" t="str">
        <f>IF(OR(Movimientos!B17="",Movimientos!F17=""),"",Movimientos!F17)</f>
        <v/>
      </c>
      <c r="F17" s="1" t="str">
        <f t="array" ref="F17">IF(E17="","",INDEX('Configuración'!$D$15:$D$134,MATCH(E17,'Configuración'!$E$15:$E$134,0)))</f>
        <v/>
      </c>
      <c r="G17" s="1" t="str">
        <f>IF(OR(Movimientos!B17="",Movimientos!G17=""),"",Movimientos!G17)</f>
        <v/>
      </c>
      <c r="H17" s="1" t="str">
        <f>IF(OR(Movimientos!B17="",Movimientos!H17=""),"",Movimientos!H17)</f>
        <v/>
      </c>
      <c r="I17" s="54" t="str">
        <f>IF(OR(Movimientos!B17="",Movimientos!I17=""),"",Movimientos!I17)</f>
        <v/>
      </c>
      <c r="J17" s="54" t="str">
        <f>IF(OR(Movimientos!B17="",Movimientos!J17=""),"",Movimientos!J17)</f>
        <v/>
      </c>
      <c r="K17" s="54" t="str">
        <f t="shared" si="1"/>
        <v/>
      </c>
      <c r="L17" s="54" t="str">
        <f t="shared" si="2"/>
        <v/>
      </c>
      <c r="M17" s="54" t="str">
        <f t="shared" si="3"/>
        <v/>
      </c>
      <c r="N17" s="1" t="str">
        <f t="shared" si="4"/>
        <v/>
      </c>
      <c r="O17" s="1"/>
      <c r="P17" s="62" t="s">
        <v>124</v>
      </c>
      <c r="Q17" s="1">
        <f>IF(P17="","",IF('Resumen financiero'!$Q$4="Todas",SUMIFS('Cálculos'!$L$9:$L$128,'Cálculos'!$C$9:$C$128,"&gt;="&amp;$C$4,'Cálculos'!$C$9:$C$128,"&lt;"&amp;$D$4,Movimientos!$K$9:$K$128,P17),SUMIFS('Cálculos'!$L$9:$L$128,'Cálculos'!$C$9:$C$128,"&gt;="&amp;$C$4,'Cálculos'!$C$9:$C$128,"&lt;"&amp;$D$4,Movimientos!$K$9:$K$128,P17,'Cálculos'!$N$9:$N$128,'Resumen financiero'!$Q$4)))</f>
        <v>0</v>
      </c>
      <c r="R17" s="1"/>
    </row>
    <row r="18" ht="24.75" customHeight="1">
      <c r="A18" s="1"/>
      <c r="B18" s="1" t="str">
        <f>IF(OR(Movimientos!B18="",Movimientos!B18=""),"",Movimientos!B18)</f>
        <v/>
      </c>
      <c r="C18" s="36" t="str">
        <f>IF(OR(Movimientos!B18="",Movimientos!C18=""),"",Movimientos!C18)</f>
        <v/>
      </c>
      <c r="D18" s="1" t="str">
        <f>IF(OR(Movimientos!B18="",Movimientos!D18=""),"",Movimientos!D18)</f>
        <v/>
      </c>
      <c r="E18" s="1" t="str">
        <f>IF(OR(Movimientos!B18="",Movimientos!F18=""),"",Movimientos!F18)</f>
        <v/>
      </c>
      <c r="F18" s="1" t="str">
        <f t="array" ref="F18">IF(E18="","",INDEX('Configuración'!$D$15:$D$134,MATCH(E18,'Configuración'!$E$15:$E$134,0)))</f>
        <v/>
      </c>
      <c r="G18" s="1" t="str">
        <f>IF(OR(Movimientos!B18="",Movimientos!G18=""),"",Movimientos!G18)</f>
        <v/>
      </c>
      <c r="H18" s="1" t="str">
        <f>IF(OR(Movimientos!B18="",Movimientos!H18=""),"",Movimientos!H18)</f>
        <v/>
      </c>
      <c r="I18" s="54" t="str">
        <f>IF(OR(Movimientos!B18="",Movimientos!I18=""),"",Movimientos!I18)</f>
        <v/>
      </c>
      <c r="J18" s="54" t="str">
        <f>IF(OR(Movimientos!B18="",Movimientos!J18=""),"",Movimientos!J18)</f>
        <v/>
      </c>
      <c r="K18" s="54" t="str">
        <f t="shared" si="1"/>
        <v/>
      </c>
      <c r="L18" s="54" t="str">
        <f t="shared" si="2"/>
        <v/>
      </c>
      <c r="M18" s="54" t="str">
        <f t="shared" si="3"/>
        <v/>
      </c>
      <c r="N18" s="1" t="str">
        <f t="shared" si="4"/>
        <v/>
      </c>
      <c r="O18" s="1"/>
      <c r="P18" s="62" t="s">
        <v>125</v>
      </c>
      <c r="Q18" s="1">
        <f>IF(P18="","",IF('Resumen financiero'!$Q$4="Todas",SUMIFS('Cálculos'!$L$9:$L$128,'Cálculos'!$C$9:$C$128,"&gt;="&amp;$C$4,'Cálculos'!$C$9:$C$128,"&lt;"&amp;$D$4,Movimientos!$K$9:$K$128,P18),SUMIFS('Cálculos'!$L$9:$L$128,'Cálculos'!$C$9:$C$128,"&gt;="&amp;$C$4,'Cálculos'!$C$9:$C$128,"&lt;"&amp;$D$4,Movimientos!$K$9:$K$128,P18,'Cálculos'!$N$9:$N$128,'Resumen financiero'!$Q$4)))</f>
        <v>0</v>
      </c>
      <c r="R18" s="1"/>
    </row>
    <row r="19" ht="24.75" customHeight="1">
      <c r="A19" s="1"/>
      <c r="B19" s="1" t="str">
        <f>IF(OR(Movimientos!B19="",Movimientos!B19=""),"",Movimientos!B19)</f>
        <v/>
      </c>
      <c r="C19" s="36" t="str">
        <f>IF(OR(Movimientos!B19="",Movimientos!C19=""),"",Movimientos!C19)</f>
        <v/>
      </c>
      <c r="D19" s="1" t="str">
        <f>IF(OR(Movimientos!B19="",Movimientos!D19=""),"",Movimientos!D19)</f>
        <v/>
      </c>
      <c r="E19" s="1" t="str">
        <f>IF(OR(Movimientos!B19="",Movimientos!F19=""),"",Movimientos!F19)</f>
        <v/>
      </c>
      <c r="F19" s="1" t="str">
        <f t="array" ref="F19">IF(E19="","",INDEX('Configuración'!$D$15:$D$134,MATCH(E19,'Configuración'!$E$15:$E$134,0)))</f>
        <v/>
      </c>
      <c r="G19" s="1" t="str">
        <f>IF(OR(Movimientos!B19="",Movimientos!G19=""),"",Movimientos!G19)</f>
        <v/>
      </c>
      <c r="H19" s="1" t="str">
        <f>IF(OR(Movimientos!B19="",Movimientos!H19=""),"",Movimientos!H19)</f>
        <v/>
      </c>
      <c r="I19" s="54" t="str">
        <f>IF(OR(Movimientos!B19="",Movimientos!I19=""),"",Movimientos!I19)</f>
        <v/>
      </c>
      <c r="J19" s="54" t="str">
        <f>IF(OR(Movimientos!B19="",Movimientos!J19=""),"",Movimientos!J19)</f>
        <v/>
      </c>
      <c r="K19" s="54" t="str">
        <f t="shared" si="1"/>
        <v/>
      </c>
      <c r="L19" s="54" t="str">
        <f t="shared" si="2"/>
        <v/>
      </c>
      <c r="M19" s="54" t="str">
        <f t="shared" si="3"/>
        <v/>
      </c>
      <c r="N19" s="1" t="str">
        <f t="shared" si="4"/>
        <v/>
      </c>
      <c r="O19" s="1"/>
      <c r="P19" s="62" t="s">
        <v>127</v>
      </c>
      <c r="Q19" s="1">
        <f>IF(P19="","",IF('Resumen financiero'!$Q$4="Todas",SUMIFS('Cálculos'!$L$9:$L$128,'Cálculos'!$C$9:$C$128,"&gt;="&amp;$C$4,'Cálculos'!$C$9:$C$128,"&lt;"&amp;$D$4,Movimientos!$K$9:$K$128,P19),SUMIFS('Cálculos'!$L$9:$L$128,'Cálculos'!$C$9:$C$128,"&gt;="&amp;$C$4,'Cálculos'!$C$9:$C$128,"&lt;"&amp;$D$4,Movimientos!$K$9:$K$128,P19,'Cálculos'!$N$9:$N$128,'Resumen financiero'!$Q$4)))</f>
        <v>0</v>
      </c>
      <c r="R19" s="1"/>
    </row>
    <row r="20" ht="24.75" customHeight="1">
      <c r="A20" s="1"/>
      <c r="B20" s="1" t="str">
        <f>IF(OR(Movimientos!B20="",Movimientos!B20=""),"",Movimientos!B20)</f>
        <v/>
      </c>
      <c r="C20" s="36" t="str">
        <f>IF(OR(Movimientos!B20="",Movimientos!C20=""),"",Movimientos!C20)</f>
        <v/>
      </c>
      <c r="D20" s="1" t="str">
        <f>IF(OR(Movimientos!B20="",Movimientos!D20=""),"",Movimientos!D20)</f>
        <v/>
      </c>
      <c r="E20" s="1" t="str">
        <f>IF(OR(Movimientos!B20="",Movimientos!F20=""),"",Movimientos!F20)</f>
        <v/>
      </c>
      <c r="F20" s="1" t="str">
        <f t="array" ref="F20">IF(E20="","",INDEX('Configuración'!$D$15:$D$134,MATCH(E20,'Configuración'!$E$15:$E$134,0)))</f>
        <v/>
      </c>
      <c r="G20" s="1" t="str">
        <f>IF(OR(Movimientos!B20="",Movimientos!G20=""),"",Movimientos!G20)</f>
        <v/>
      </c>
      <c r="H20" s="1" t="str">
        <f>IF(OR(Movimientos!B20="",Movimientos!H20=""),"",Movimientos!H20)</f>
        <v/>
      </c>
      <c r="I20" s="54" t="str">
        <f>IF(OR(Movimientos!B20="",Movimientos!I20=""),"",Movimientos!I20)</f>
        <v/>
      </c>
      <c r="J20" s="54" t="str">
        <f>IF(OR(Movimientos!B20="",Movimientos!J20=""),"",Movimientos!J20)</f>
        <v/>
      </c>
      <c r="K20" s="54" t="str">
        <f t="shared" si="1"/>
        <v/>
      </c>
      <c r="L20" s="54" t="str">
        <f t="shared" si="2"/>
        <v/>
      </c>
      <c r="M20" s="54" t="str">
        <f t="shared" si="3"/>
        <v/>
      </c>
      <c r="N20" s="1" t="str">
        <f t="shared" si="4"/>
        <v/>
      </c>
      <c r="O20" s="1"/>
      <c r="P20" s="62" t="s">
        <v>128</v>
      </c>
      <c r="Q20" s="1">
        <f>IF(P20="","",IF('Resumen financiero'!$Q$4="Todas",SUMIFS('Cálculos'!$L$9:$L$128,'Cálculos'!$C$9:$C$128,"&gt;="&amp;$C$4,'Cálculos'!$C$9:$C$128,"&lt;"&amp;$D$4,Movimientos!$K$9:$K$128,P20),SUMIFS('Cálculos'!$L$9:$L$128,'Cálculos'!$C$9:$C$128,"&gt;="&amp;$C$4,'Cálculos'!$C$9:$C$128,"&lt;"&amp;$D$4,Movimientos!$K$9:$K$128,P20,'Cálculos'!$N$9:$N$128,'Resumen financiero'!$Q$4)))</f>
        <v>0</v>
      </c>
      <c r="R20" s="1"/>
    </row>
    <row r="21" ht="24.75" customHeight="1">
      <c r="A21" s="1"/>
      <c r="B21" s="1" t="str">
        <f>IF(OR(Movimientos!B21="",Movimientos!B21=""),"",Movimientos!B21)</f>
        <v/>
      </c>
      <c r="C21" s="36" t="str">
        <f>IF(OR(Movimientos!B21="",Movimientos!C21=""),"",Movimientos!C21)</f>
        <v/>
      </c>
      <c r="D21" s="1" t="str">
        <f>IF(OR(Movimientos!B21="",Movimientos!D21=""),"",Movimientos!D21)</f>
        <v/>
      </c>
      <c r="E21" s="1" t="str">
        <f>IF(OR(Movimientos!B21="",Movimientos!F21=""),"",Movimientos!F21)</f>
        <v/>
      </c>
      <c r="F21" s="1" t="str">
        <f t="array" ref="F21">IF(E21="","",INDEX('Configuración'!$D$15:$D$134,MATCH(E21,'Configuración'!$E$15:$E$134,0)))</f>
        <v/>
      </c>
      <c r="G21" s="1" t="str">
        <f>IF(OR(Movimientos!B21="",Movimientos!G21=""),"",Movimientos!G21)</f>
        <v/>
      </c>
      <c r="H21" s="1" t="str">
        <f>IF(OR(Movimientos!B21="",Movimientos!H21=""),"",Movimientos!H21)</f>
        <v/>
      </c>
      <c r="I21" s="54" t="str">
        <f>IF(OR(Movimientos!B21="",Movimientos!I21=""),"",Movimientos!I21)</f>
        <v/>
      </c>
      <c r="J21" s="54" t="str">
        <f>IF(OR(Movimientos!B21="",Movimientos!J21=""),"",Movimientos!J21)</f>
        <v/>
      </c>
      <c r="K21" s="54" t="str">
        <f t="shared" si="1"/>
        <v/>
      </c>
      <c r="L21" s="54" t="str">
        <f t="shared" si="2"/>
        <v/>
      </c>
      <c r="M21" s="54" t="str">
        <f t="shared" si="3"/>
        <v/>
      </c>
      <c r="N21" s="1" t="str">
        <f t="shared" si="4"/>
        <v/>
      </c>
      <c r="O21" s="1"/>
      <c r="P21" s="62" t="s">
        <v>129</v>
      </c>
      <c r="Q21" s="1">
        <f>IF(P21="","",IF('Resumen financiero'!$Q$4="Todas",SUMIFS('Cálculos'!$L$9:$L$128,'Cálculos'!$C$9:$C$128,"&gt;="&amp;$C$4,'Cálculos'!$C$9:$C$128,"&lt;"&amp;$D$4,Movimientos!$K$9:$K$128,P21),SUMIFS('Cálculos'!$L$9:$L$128,'Cálculos'!$C$9:$C$128,"&gt;="&amp;$C$4,'Cálculos'!$C$9:$C$128,"&lt;"&amp;$D$4,Movimientos!$K$9:$K$128,P21,'Cálculos'!$N$9:$N$128,'Resumen financiero'!$Q$4)))</f>
        <v>0</v>
      </c>
      <c r="R21" s="1"/>
    </row>
    <row r="22" ht="24.75" customHeight="1">
      <c r="A22" s="1"/>
      <c r="B22" s="1" t="str">
        <f>IF(OR(Movimientos!B22="",Movimientos!B22=""),"",Movimientos!B22)</f>
        <v/>
      </c>
      <c r="C22" s="36" t="str">
        <f>IF(OR(Movimientos!B22="",Movimientos!C22=""),"",Movimientos!C22)</f>
        <v/>
      </c>
      <c r="D22" s="1" t="str">
        <f>IF(OR(Movimientos!B22="",Movimientos!D22=""),"",Movimientos!D22)</f>
        <v/>
      </c>
      <c r="E22" s="1" t="str">
        <f>IF(OR(Movimientos!B22="",Movimientos!F22=""),"",Movimientos!F22)</f>
        <v/>
      </c>
      <c r="F22" s="1" t="str">
        <f t="array" ref="F22">IF(E22="","",INDEX('Configuración'!$D$15:$D$134,MATCH(E22,'Configuración'!$E$15:$E$134,0)))</f>
        <v/>
      </c>
      <c r="G22" s="1" t="str">
        <f>IF(OR(Movimientos!B22="",Movimientos!G22=""),"",Movimientos!G22)</f>
        <v/>
      </c>
      <c r="H22" s="1" t="str">
        <f>IF(OR(Movimientos!B22="",Movimientos!H22=""),"",Movimientos!H22)</f>
        <v/>
      </c>
      <c r="I22" s="54" t="str">
        <f>IF(OR(Movimientos!B22="",Movimientos!I22=""),"",Movimientos!I22)</f>
        <v/>
      </c>
      <c r="J22" s="54" t="str">
        <f>IF(OR(Movimientos!B22="",Movimientos!J22=""),"",Movimientos!J22)</f>
        <v/>
      </c>
      <c r="K22" s="54" t="str">
        <f t="shared" si="1"/>
        <v/>
      </c>
      <c r="L22" s="54" t="str">
        <f t="shared" si="2"/>
        <v/>
      </c>
      <c r="M22" s="54" t="str">
        <f t="shared" si="3"/>
        <v/>
      </c>
      <c r="N22" s="1" t="str">
        <f t="shared" si="4"/>
        <v/>
      </c>
      <c r="O22" s="1"/>
      <c r="P22" s="1"/>
      <c r="Q22" s="1"/>
      <c r="R22" s="1"/>
    </row>
    <row r="23" ht="24.75" customHeight="1">
      <c r="A23" s="1"/>
      <c r="B23" s="1" t="str">
        <f>IF(OR(Movimientos!B23="",Movimientos!B23=""),"",Movimientos!B23)</f>
        <v/>
      </c>
      <c r="C23" s="36" t="str">
        <f>IF(OR(Movimientos!B23="",Movimientos!C23=""),"",Movimientos!C23)</f>
        <v/>
      </c>
      <c r="D23" s="1" t="str">
        <f>IF(OR(Movimientos!B23="",Movimientos!D23=""),"",Movimientos!D23)</f>
        <v/>
      </c>
      <c r="E23" s="1" t="str">
        <f>IF(OR(Movimientos!B23="",Movimientos!F23=""),"",Movimientos!F23)</f>
        <v/>
      </c>
      <c r="F23" s="1" t="str">
        <f t="array" ref="F23">IF(E23="","",INDEX('Configuración'!$D$15:$D$134,MATCH(E23,'Configuración'!$E$15:$E$134,0)))</f>
        <v/>
      </c>
      <c r="G23" s="1" t="str">
        <f>IF(OR(Movimientos!B23="",Movimientos!G23=""),"",Movimientos!G23)</f>
        <v/>
      </c>
      <c r="H23" s="1" t="str">
        <f>IF(OR(Movimientos!B23="",Movimientos!H23=""),"",Movimientos!H23)</f>
        <v/>
      </c>
      <c r="I23" s="54" t="str">
        <f>IF(OR(Movimientos!B23="",Movimientos!I23=""),"",Movimientos!I23)</f>
        <v/>
      </c>
      <c r="J23" s="54" t="str">
        <f>IF(OR(Movimientos!B23="",Movimientos!J23=""),"",Movimientos!J23)</f>
        <v/>
      </c>
      <c r="K23" s="54" t="str">
        <f t="shared" si="1"/>
        <v/>
      </c>
      <c r="L23" s="54" t="str">
        <f t="shared" si="2"/>
        <v/>
      </c>
      <c r="M23" s="54" t="str">
        <f t="shared" si="3"/>
        <v/>
      </c>
      <c r="N23" s="1" t="str">
        <f t="shared" si="4"/>
        <v/>
      </c>
      <c r="O23" s="1"/>
      <c r="P23" s="1"/>
      <c r="Q23" s="1"/>
      <c r="R23" s="1"/>
    </row>
    <row r="24" ht="24.75" customHeight="1">
      <c r="A24" s="1"/>
      <c r="B24" s="1" t="str">
        <f>IF(OR(Movimientos!B24="",Movimientos!B24=""),"",Movimientos!B24)</f>
        <v/>
      </c>
      <c r="C24" s="36" t="str">
        <f>IF(OR(Movimientos!B24="",Movimientos!C24=""),"",Movimientos!C24)</f>
        <v/>
      </c>
      <c r="D24" s="1" t="str">
        <f>IF(OR(Movimientos!B24="",Movimientos!D24=""),"",Movimientos!D24)</f>
        <v/>
      </c>
      <c r="E24" s="1" t="str">
        <f>IF(OR(Movimientos!B24="",Movimientos!F24=""),"",Movimientos!F24)</f>
        <v/>
      </c>
      <c r="F24" s="1" t="str">
        <f t="array" ref="F24">IF(E24="","",INDEX('Configuración'!$D$15:$D$134,MATCH(E24,'Configuración'!$E$15:$E$134,0)))</f>
        <v/>
      </c>
      <c r="G24" s="1" t="str">
        <f>IF(OR(Movimientos!B24="",Movimientos!G24=""),"",Movimientos!G24)</f>
        <v/>
      </c>
      <c r="H24" s="1" t="str">
        <f>IF(OR(Movimientos!B24="",Movimientos!H24=""),"",Movimientos!H24)</f>
        <v/>
      </c>
      <c r="I24" s="54" t="str">
        <f>IF(OR(Movimientos!B24="",Movimientos!I24=""),"",Movimientos!I24)</f>
        <v/>
      </c>
      <c r="J24" s="54" t="str">
        <f>IF(OR(Movimientos!B24="",Movimientos!J24=""),"",Movimientos!J24)</f>
        <v/>
      </c>
      <c r="K24" s="54" t="str">
        <f t="shared" si="1"/>
        <v/>
      </c>
      <c r="L24" s="54" t="str">
        <f t="shared" si="2"/>
        <v/>
      </c>
      <c r="M24" s="54" t="str">
        <f t="shared" si="3"/>
        <v/>
      </c>
      <c r="N24" s="1" t="str">
        <f t="shared" si="4"/>
        <v/>
      </c>
      <c r="O24" s="1"/>
      <c r="P24" s="1"/>
      <c r="Q24" s="1"/>
      <c r="R24" s="1"/>
    </row>
    <row r="25" ht="24.75" customHeight="1">
      <c r="A25" s="1"/>
      <c r="B25" s="1" t="str">
        <f>IF(OR(Movimientos!B25="",Movimientos!B25=""),"",Movimientos!B25)</f>
        <v/>
      </c>
      <c r="C25" s="36" t="str">
        <f>IF(OR(Movimientos!B25="",Movimientos!C25=""),"",Movimientos!C25)</f>
        <v/>
      </c>
      <c r="D25" s="1" t="str">
        <f>IF(OR(Movimientos!B25="",Movimientos!D25=""),"",Movimientos!D25)</f>
        <v/>
      </c>
      <c r="E25" s="1" t="str">
        <f>IF(OR(Movimientos!B25="",Movimientos!F25=""),"",Movimientos!F25)</f>
        <v/>
      </c>
      <c r="F25" s="1" t="str">
        <f t="array" ref="F25">IF(E25="","",INDEX('Configuración'!$D$15:$D$134,MATCH(E25,'Configuración'!$E$15:$E$134,0)))</f>
        <v/>
      </c>
      <c r="G25" s="1" t="str">
        <f>IF(OR(Movimientos!B25="",Movimientos!G25=""),"",Movimientos!G25)</f>
        <v/>
      </c>
      <c r="H25" s="1" t="str">
        <f>IF(OR(Movimientos!B25="",Movimientos!H25=""),"",Movimientos!H25)</f>
        <v/>
      </c>
      <c r="I25" s="54" t="str">
        <f>IF(OR(Movimientos!B25="",Movimientos!I25=""),"",Movimientos!I25)</f>
        <v/>
      </c>
      <c r="J25" s="54" t="str">
        <f>IF(OR(Movimientos!B25="",Movimientos!J25=""),"",Movimientos!J25)</f>
        <v/>
      </c>
      <c r="K25" s="54" t="str">
        <f t="shared" si="1"/>
        <v/>
      </c>
      <c r="L25" s="54" t="str">
        <f t="shared" si="2"/>
        <v/>
      </c>
      <c r="M25" s="54" t="str">
        <f t="shared" si="3"/>
        <v/>
      </c>
      <c r="N25" s="1" t="str">
        <f t="shared" si="4"/>
        <v/>
      </c>
      <c r="O25" s="1"/>
      <c r="P25" s="1"/>
      <c r="Q25" s="1"/>
      <c r="R25" s="1"/>
    </row>
    <row r="26" ht="24.75" customHeight="1">
      <c r="A26" s="1"/>
      <c r="B26" s="1" t="str">
        <f>IF(OR(Movimientos!B26="",Movimientos!B26=""),"",Movimientos!B26)</f>
        <v/>
      </c>
      <c r="C26" s="36" t="str">
        <f>IF(OR(Movimientos!B26="",Movimientos!C26=""),"",Movimientos!C26)</f>
        <v/>
      </c>
      <c r="D26" s="1" t="str">
        <f>IF(OR(Movimientos!B26="",Movimientos!D26=""),"",Movimientos!D26)</f>
        <v/>
      </c>
      <c r="E26" s="1" t="str">
        <f>IF(OR(Movimientos!B26="",Movimientos!F26=""),"",Movimientos!F26)</f>
        <v/>
      </c>
      <c r="F26" s="1" t="str">
        <f t="array" ref="F26">IF(E26="","",INDEX('Configuración'!$D$15:$D$134,MATCH(E26,'Configuración'!$E$15:$E$134,0)))</f>
        <v/>
      </c>
      <c r="G26" s="1" t="str">
        <f>IF(OR(Movimientos!B26="",Movimientos!G26=""),"",Movimientos!G26)</f>
        <v/>
      </c>
      <c r="H26" s="1" t="str">
        <f>IF(OR(Movimientos!B26="",Movimientos!H26=""),"",Movimientos!H26)</f>
        <v/>
      </c>
      <c r="I26" s="54" t="str">
        <f>IF(OR(Movimientos!B26="",Movimientos!I26=""),"",Movimientos!I26)</f>
        <v/>
      </c>
      <c r="J26" s="54" t="str">
        <f>IF(OR(Movimientos!B26="",Movimientos!J26=""),"",Movimientos!J26)</f>
        <v/>
      </c>
      <c r="K26" s="54" t="str">
        <f t="shared" si="1"/>
        <v/>
      </c>
      <c r="L26" s="54" t="str">
        <f t="shared" si="2"/>
        <v/>
      </c>
      <c r="M26" s="54" t="str">
        <f t="shared" si="3"/>
        <v/>
      </c>
      <c r="N26" s="1" t="str">
        <f t="shared" si="4"/>
        <v/>
      </c>
      <c r="O26" s="1"/>
      <c r="P26" s="1"/>
      <c r="Q26" s="1"/>
      <c r="R26" s="1"/>
    </row>
    <row r="27" ht="24.75" customHeight="1">
      <c r="A27" s="1"/>
      <c r="B27" s="1" t="str">
        <f>IF(OR(Movimientos!B27="",Movimientos!B27=""),"",Movimientos!B27)</f>
        <v/>
      </c>
      <c r="C27" s="36" t="str">
        <f>IF(OR(Movimientos!B27="",Movimientos!C27=""),"",Movimientos!C27)</f>
        <v/>
      </c>
      <c r="D27" s="1" t="str">
        <f>IF(OR(Movimientos!B27="",Movimientos!D27=""),"",Movimientos!D27)</f>
        <v/>
      </c>
      <c r="E27" s="1" t="str">
        <f>IF(OR(Movimientos!B27="",Movimientos!F27=""),"",Movimientos!F27)</f>
        <v/>
      </c>
      <c r="F27" s="1" t="str">
        <f t="array" ref="F27">IF(E27="","",INDEX('Configuración'!$D$15:$D$134,MATCH(E27,'Configuración'!$E$15:$E$134,0)))</f>
        <v/>
      </c>
      <c r="G27" s="1" t="str">
        <f>IF(OR(Movimientos!B27="",Movimientos!G27=""),"",Movimientos!G27)</f>
        <v/>
      </c>
      <c r="H27" s="1" t="str">
        <f>IF(OR(Movimientos!B27="",Movimientos!H27=""),"",Movimientos!H27)</f>
        <v/>
      </c>
      <c r="I27" s="54" t="str">
        <f>IF(OR(Movimientos!B27="",Movimientos!I27=""),"",Movimientos!I27)</f>
        <v/>
      </c>
      <c r="J27" s="54" t="str">
        <f>IF(OR(Movimientos!B27="",Movimientos!J27=""),"",Movimientos!J27)</f>
        <v/>
      </c>
      <c r="K27" s="54" t="str">
        <f t="shared" si="1"/>
        <v/>
      </c>
      <c r="L27" s="54" t="str">
        <f t="shared" si="2"/>
        <v/>
      </c>
      <c r="M27" s="54" t="str">
        <f t="shared" si="3"/>
        <v/>
      </c>
      <c r="N27" s="1" t="str">
        <f t="shared" si="4"/>
        <v/>
      </c>
      <c r="O27" s="1"/>
      <c r="P27" s="1"/>
      <c r="Q27" s="1"/>
      <c r="R27" s="1"/>
    </row>
    <row r="28" ht="24.75" customHeight="1">
      <c r="A28" s="1"/>
      <c r="B28" s="1" t="str">
        <f>IF(OR(Movimientos!B28="",Movimientos!B28=""),"",Movimientos!B28)</f>
        <v/>
      </c>
      <c r="C28" s="36" t="str">
        <f>IF(OR(Movimientos!B28="",Movimientos!C28=""),"",Movimientos!C28)</f>
        <v/>
      </c>
      <c r="D28" s="1" t="str">
        <f>IF(OR(Movimientos!B28="",Movimientos!D28=""),"",Movimientos!D28)</f>
        <v/>
      </c>
      <c r="E28" s="1" t="str">
        <f>IF(OR(Movimientos!B28="",Movimientos!F28=""),"",Movimientos!F28)</f>
        <v/>
      </c>
      <c r="F28" s="1" t="str">
        <f t="array" ref="F28">IF(E28="","",INDEX('Configuración'!$D$15:$D$134,MATCH(E28,'Configuración'!$E$15:$E$134,0)))</f>
        <v/>
      </c>
      <c r="G28" s="1" t="str">
        <f>IF(OR(Movimientos!B28="",Movimientos!G28=""),"",Movimientos!G28)</f>
        <v/>
      </c>
      <c r="H28" s="1" t="str">
        <f>IF(OR(Movimientos!B28="",Movimientos!H28=""),"",Movimientos!H28)</f>
        <v/>
      </c>
      <c r="I28" s="54" t="str">
        <f>IF(OR(Movimientos!B28="",Movimientos!I28=""),"",Movimientos!I28)</f>
        <v/>
      </c>
      <c r="J28" s="54" t="str">
        <f>IF(OR(Movimientos!B28="",Movimientos!J28=""),"",Movimientos!J28)</f>
        <v/>
      </c>
      <c r="K28" s="54" t="str">
        <f t="shared" si="1"/>
        <v/>
      </c>
      <c r="L28" s="54" t="str">
        <f t="shared" si="2"/>
        <v/>
      </c>
      <c r="M28" s="54" t="str">
        <f t="shared" si="3"/>
        <v/>
      </c>
      <c r="N28" s="1" t="str">
        <f t="shared" si="4"/>
        <v/>
      </c>
      <c r="O28" s="1"/>
      <c r="P28" s="1"/>
      <c r="Q28" s="1"/>
      <c r="R28" s="1"/>
    </row>
    <row r="29" ht="24.75" customHeight="1">
      <c r="A29" s="1"/>
      <c r="B29" s="1" t="str">
        <f>IF(OR(Movimientos!B29="",Movimientos!B29=""),"",Movimientos!B29)</f>
        <v/>
      </c>
      <c r="C29" s="36" t="str">
        <f>IF(OR(Movimientos!B29="",Movimientos!C29=""),"",Movimientos!C29)</f>
        <v/>
      </c>
      <c r="D29" s="1" t="str">
        <f>IF(OR(Movimientos!B29="",Movimientos!D29=""),"",Movimientos!D29)</f>
        <v/>
      </c>
      <c r="E29" s="1" t="str">
        <f>IF(OR(Movimientos!B29="",Movimientos!F29=""),"",Movimientos!F29)</f>
        <v/>
      </c>
      <c r="F29" s="1" t="str">
        <f t="array" ref="F29">IF(E29="","",INDEX('Configuración'!$D$15:$D$134,MATCH(E29,'Configuración'!$E$15:$E$134,0)))</f>
        <v/>
      </c>
      <c r="G29" s="1" t="str">
        <f>IF(OR(Movimientos!B29="",Movimientos!G29=""),"",Movimientos!G29)</f>
        <v/>
      </c>
      <c r="H29" s="1" t="str">
        <f>IF(OR(Movimientos!B29="",Movimientos!H29=""),"",Movimientos!H29)</f>
        <v/>
      </c>
      <c r="I29" s="54" t="str">
        <f>IF(OR(Movimientos!B29="",Movimientos!I29=""),"",Movimientos!I29)</f>
        <v/>
      </c>
      <c r="J29" s="54" t="str">
        <f>IF(OR(Movimientos!B29="",Movimientos!J29=""),"",Movimientos!J29)</f>
        <v/>
      </c>
      <c r="K29" s="54" t="str">
        <f t="shared" si="1"/>
        <v/>
      </c>
      <c r="L29" s="54" t="str">
        <f t="shared" si="2"/>
        <v/>
      </c>
      <c r="M29" s="54" t="str">
        <f t="shared" si="3"/>
        <v/>
      </c>
      <c r="N29" s="1" t="str">
        <f t="shared" si="4"/>
        <v/>
      </c>
      <c r="O29" s="1"/>
      <c r="P29" s="1"/>
      <c r="Q29" s="1"/>
      <c r="R29" s="1"/>
    </row>
    <row r="30" ht="24.75" customHeight="1">
      <c r="A30" s="1"/>
      <c r="B30" s="1" t="str">
        <f>IF(OR(Movimientos!B30="",Movimientos!B30=""),"",Movimientos!B30)</f>
        <v/>
      </c>
      <c r="C30" s="36" t="str">
        <f>IF(OR(Movimientos!B30="",Movimientos!C30=""),"",Movimientos!C30)</f>
        <v/>
      </c>
      <c r="D30" s="1" t="str">
        <f>IF(OR(Movimientos!B30="",Movimientos!D30=""),"",Movimientos!D30)</f>
        <v/>
      </c>
      <c r="E30" s="1" t="str">
        <f>IF(OR(Movimientos!B30="",Movimientos!F30=""),"",Movimientos!F30)</f>
        <v/>
      </c>
      <c r="F30" s="1" t="str">
        <f t="array" ref="F30">IF(E30="","",INDEX('Configuración'!$D$15:$D$134,MATCH(E30,'Configuración'!$E$15:$E$134,0)))</f>
        <v/>
      </c>
      <c r="G30" s="1" t="str">
        <f>IF(OR(Movimientos!B30="",Movimientos!G30=""),"",Movimientos!G30)</f>
        <v/>
      </c>
      <c r="H30" s="1" t="str">
        <f>IF(OR(Movimientos!B30="",Movimientos!H30=""),"",Movimientos!H30)</f>
        <v/>
      </c>
      <c r="I30" s="54" t="str">
        <f>IF(OR(Movimientos!B30="",Movimientos!I30=""),"",Movimientos!I30)</f>
        <v/>
      </c>
      <c r="J30" s="54" t="str">
        <f>IF(OR(Movimientos!B30="",Movimientos!J30=""),"",Movimientos!J30)</f>
        <v/>
      </c>
      <c r="K30" s="54" t="str">
        <f t="shared" si="1"/>
        <v/>
      </c>
      <c r="L30" s="54" t="str">
        <f t="shared" si="2"/>
        <v/>
      </c>
      <c r="M30" s="54" t="str">
        <f t="shared" si="3"/>
        <v/>
      </c>
      <c r="N30" s="1" t="str">
        <f t="shared" si="4"/>
        <v/>
      </c>
      <c r="O30" s="1"/>
      <c r="P30" s="1"/>
      <c r="Q30" s="1"/>
      <c r="R30" s="1"/>
    </row>
    <row r="31" ht="24.75" customHeight="1">
      <c r="A31" s="1"/>
      <c r="B31" s="1" t="str">
        <f>IF(OR(Movimientos!B31="",Movimientos!B31=""),"",Movimientos!B31)</f>
        <v/>
      </c>
      <c r="C31" s="36" t="str">
        <f>IF(OR(Movimientos!B31="",Movimientos!C31=""),"",Movimientos!C31)</f>
        <v/>
      </c>
      <c r="D31" s="1" t="str">
        <f>IF(OR(Movimientos!B31="",Movimientos!D31=""),"",Movimientos!D31)</f>
        <v/>
      </c>
      <c r="E31" s="1" t="str">
        <f>IF(OR(Movimientos!B31="",Movimientos!F31=""),"",Movimientos!F31)</f>
        <v/>
      </c>
      <c r="F31" s="1" t="str">
        <f t="array" ref="F31">IF(E31="","",INDEX('Configuración'!$D$15:$D$134,MATCH(E31,'Configuración'!$E$15:$E$134,0)))</f>
        <v/>
      </c>
      <c r="G31" s="1" t="str">
        <f>IF(OR(Movimientos!B31="",Movimientos!G31=""),"",Movimientos!G31)</f>
        <v/>
      </c>
      <c r="H31" s="1" t="str">
        <f>IF(OR(Movimientos!B31="",Movimientos!H31=""),"",Movimientos!H31)</f>
        <v/>
      </c>
      <c r="I31" s="54" t="str">
        <f>IF(OR(Movimientos!B31="",Movimientos!I31=""),"",Movimientos!I31)</f>
        <v/>
      </c>
      <c r="J31" s="54" t="str">
        <f>IF(OR(Movimientos!B31="",Movimientos!J31=""),"",Movimientos!J31)</f>
        <v/>
      </c>
      <c r="K31" s="54" t="str">
        <f t="shared" si="1"/>
        <v/>
      </c>
      <c r="L31" s="54" t="str">
        <f t="shared" si="2"/>
        <v/>
      </c>
      <c r="M31" s="54" t="str">
        <f t="shared" si="3"/>
        <v/>
      </c>
      <c r="N31" s="1" t="str">
        <f t="shared" si="4"/>
        <v/>
      </c>
      <c r="O31" s="1"/>
      <c r="P31" s="1"/>
      <c r="Q31" s="1"/>
      <c r="R31" s="1"/>
    </row>
    <row r="32" ht="24.75" customHeight="1">
      <c r="A32" s="1"/>
      <c r="B32" s="1" t="str">
        <f>IF(OR(Movimientos!B32="",Movimientos!B32=""),"",Movimientos!B32)</f>
        <v/>
      </c>
      <c r="C32" s="36" t="str">
        <f>IF(OR(Movimientos!B32="",Movimientos!C32=""),"",Movimientos!C32)</f>
        <v/>
      </c>
      <c r="D32" s="1" t="str">
        <f>IF(OR(Movimientos!B32="",Movimientos!D32=""),"",Movimientos!D32)</f>
        <v/>
      </c>
      <c r="E32" s="1" t="str">
        <f>IF(OR(Movimientos!B32="",Movimientos!F32=""),"",Movimientos!F32)</f>
        <v/>
      </c>
      <c r="F32" s="1" t="str">
        <f t="array" ref="F32">IF(E32="","",INDEX('Configuración'!$D$15:$D$134,MATCH(E32,'Configuración'!$E$15:$E$134,0)))</f>
        <v/>
      </c>
      <c r="G32" s="1" t="str">
        <f>IF(OR(Movimientos!B32="",Movimientos!G32=""),"",Movimientos!G32)</f>
        <v/>
      </c>
      <c r="H32" s="1" t="str">
        <f>IF(OR(Movimientos!B32="",Movimientos!H32=""),"",Movimientos!H32)</f>
        <v/>
      </c>
      <c r="I32" s="54" t="str">
        <f>IF(OR(Movimientos!B32="",Movimientos!I32=""),"",Movimientos!I32)</f>
        <v/>
      </c>
      <c r="J32" s="54" t="str">
        <f>IF(OR(Movimientos!B32="",Movimientos!J32=""),"",Movimientos!J32)</f>
        <v/>
      </c>
      <c r="K32" s="54" t="str">
        <f t="shared" si="1"/>
        <v/>
      </c>
      <c r="L32" s="54" t="str">
        <f t="shared" si="2"/>
        <v/>
      </c>
      <c r="M32" s="54" t="str">
        <f t="shared" si="3"/>
        <v/>
      </c>
      <c r="N32" s="1" t="str">
        <f t="shared" si="4"/>
        <v/>
      </c>
      <c r="O32" s="1"/>
      <c r="P32" s="1"/>
      <c r="Q32" s="1"/>
      <c r="R32" s="1"/>
    </row>
    <row r="33" ht="24.75" customHeight="1">
      <c r="A33" s="1"/>
      <c r="B33" s="1" t="str">
        <f>IF(OR(Movimientos!B33="",Movimientos!B33=""),"",Movimientos!B33)</f>
        <v/>
      </c>
      <c r="C33" s="36" t="str">
        <f>IF(OR(Movimientos!B33="",Movimientos!C33=""),"",Movimientos!C33)</f>
        <v/>
      </c>
      <c r="D33" s="1" t="str">
        <f>IF(OR(Movimientos!B33="",Movimientos!D33=""),"",Movimientos!D33)</f>
        <v/>
      </c>
      <c r="E33" s="1" t="str">
        <f>IF(OR(Movimientos!B33="",Movimientos!F33=""),"",Movimientos!F33)</f>
        <v/>
      </c>
      <c r="F33" s="1" t="str">
        <f t="array" ref="F33">IF(E33="","",INDEX('Configuración'!$D$15:$D$134,MATCH(E33,'Configuración'!$E$15:$E$134,0)))</f>
        <v/>
      </c>
      <c r="G33" s="1" t="str">
        <f>IF(OR(Movimientos!B33="",Movimientos!G33=""),"",Movimientos!G33)</f>
        <v/>
      </c>
      <c r="H33" s="1" t="str">
        <f>IF(OR(Movimientos!B33="",Movimientos!H33=""),"",Movimientos!H33)</f>
        <v/>
      </c>
      <c r="I33" s="54" t="str">
        <f>IF(OR(Movimientos!B33="",Movimientos!I33=""),"",Movimientos!I33)</f>
        <v/>
      </c>
      <c r="J33" s="54" t="str">
        <f>IF(OR(Movimientos!B33="",Movimientos!J33=""),"",Movimientos!J33)</f>
        <v/>
      </c>
      <c r="K33" s="54" t="str">
        <f t="shared" si="1"/>
        <v/>
      </c>
      <c r="L33" s="54" t="str">
        <f t="shared" si="2"/>
        <v/>
      </c>
      <c r="M33" s="54" t="str">
        <f t="shared" si="3"/>
        <v/>
      </c>
      <c r="N33" s="1" t="str">
        <f t="shared" si="4"/>
        <v/>
      </c>
      <c r="O33" s="1"/>
      <c r="P33" s="1"/>
      <c r="Q33" s="1"/>
      <c r="R33" s="1"/>
    </row>
    <row r="34" ht="24.75" customHeight="1">
      <c r="A34" s="1"/>
      <c r="B34" s="1" t="str">
        <f>IF(OR(Movimientos!B34="",Movimientos!B34=""),"",Movimientos!B34)</f>
        <v/>
      </c>
      <c r="C34" s="36" t="str">
        <f>IF(OR(Movimientos!B34="",Movimientos!C34=""),"",Movimientos!C34)</f>
        <v/>
      </c>
      <c r="D34" s="1" t="str">
        <f>IF(OR(Movimientos!B34="",Movimientos!D34=""),"",Movimientos!D34)</f>
        <v/>
      </c>
      <c r="E34" s="1" t="str">
        <f>IF(OR(Movimientos!B34="",Movimientos!F34=""),"",Movimientos!F34)</f>
        <v/>
      </c>
      <c r="F34" s="1" t="str">
        <f t="array" ref="F34">IF(E34="","",INDEX('Configuración'!$D$15:$D$134,MATCH(E34,'Configuración'!$E$15:$E$134,0)))</f>
        <v/>
      </c>
      <c r="G34" s="1" t="str">
        <f>IF(OR(Movimientos!B34="",Movimientos!G34=""),"",Movimientos!G34)</f>
        <v/>
      </c>
      <c r="H34" s="1" t="str">
        <f>IF(OR(Movimientos!B34="",Movimientos!H34=""),"",Movimientos!H34)</f>
        <v/>
      </c>
      <c r="I34" s="54" t="str">
        <f>IF(OR(Movimientos!B34="",Movimientos!I34=""),"",Movimientos!I34)</f>
        <v/>
      </c>
      <c r="J34" s="54" t="str">
        <f>IF(OR(Movimientos!B34="",Movimientos!J34=""),"",Movimientos!J34)</f>
        <v/>
      </c>
      <c r="K34" s="54" t="str">
        <f t="shared" si="1"/>
        <v/>
      </c>
      <c r="L34" s="54" t="str">
        <f t="shared" si="2"/>
        <v/>
      </c>
      <c r="M34" s="54" t="str">
        <f t="shared" si="3"/>
        <v/>
      </c>
      <c r="N34" s="1" t="str">
        <f t="shared" si="4"/>
        <v/>
      </c>
      <c r="O34" s="1"/>
      <c r="P34" s="1"/>
      <c r="Q34" s="1"/>
      <c r="R34" s="1"/>
    </row>
    <row r="35" ht="24.75" customHeight="1">
      <c r="A35" s="1"/>
      <c r="B35" s="1" t="str">
        <f>IF(OR(Movimientos!B35="",Movimientos!B35=""),"",Movimientos!B35)</f>
        <v/>
      </c>
      <c r="C35" s="36" t="str">
        <f>IF(OR(Movimientos!B35="",Movimientos!C35=""),"",Movimientos!C35)</f>
        <v/>
      </c>
      <c r="D35" s="1" t="str">
        <f>IF(OR(Movimientos!B35="",Movimientos!D35=""),"",Movimientos!D35)</f>
        <v/>
      </c>
      <c r="E35" s="1" t="str">
        <f>IF(OR(Movimientos!B35="",Movimientos!F35=""),"",Movimientos!F35)</f>
        <v/>
      </c>
      <c r="F35" s="1" t="str">
        <f t="array" ref="F35">IF(E35="","",INDEX('Configuración'!$D$15:$D$134,MATCH(E35,'Configuración'!$E$15:$E$134,0)))</f>
        <v/>
      </c>
      <c r="G35" s="1" t="str">
        <f>IF(OR(Movimientos!B35="",Movimientos!G35=""),"",Movimientos!G35)</f>
        <v/>
      </c>
      <c r="H35" s="1" t="str">
        <f>IF(OR(Movimientos!B35="",Movimientos!H35=""),"",Movimientos!H35)</f>
        <v/>
      </c>
      <c r="I35" s="54" t="str">
        <f>IF(OR(Movimientos!B35="",Movimientos!I35=""),"",Movimientos!I35)</f>
        <v/>
      </c>
      <c r="J35" s="54" t="str">
        <f>IF(OR(Movimientos!B35="",Movimientos!J35=""),"",Movimientos!J35)</f>
        <v/>
      </c>
      <c r="K35" s="54" t="str">
        <f t="shared" si="1"/>
        <v/>
      </c>
      <c r="L35" s="54" t="str">
        <f t="shared" si="2"/>
        <v/>
      </c>
      <c r="M35" s="54" t="str">
        <f t="shared" si="3"/>
        <v/>
      </c>
      <c r="N35" s="1" t="str">
        <f t="shared" si="4"/>
        <v/>
      </c>
      <c r="O35" s="1"/>
      <c r="P35" s="1"/>
      <c r="Q35" s="1"/>
      <c r="R35" s="1"/>
    </row>
    <row r="36" ht="24.75" customHeight="1">
      <c r="A36" s="1"/>
      <c r="B36" s="1" t="str">
        <f>IF(OR(Movimientos!B36="",Movimientos!B36=""),"",Movimientos!B36)</f>
        <v/>
      </c>
      <c r="C36" s="36" t="str">
        <f>IF(OR(Movimientos!B36="",Movimientos!C36=""),"",Movimientos!C36)</f>
        <v/>
      </c>
      <c r="D36" s="1" t="str">
        <f>IF(OR(Movimientos!B36="",Movimientos!D36=""),"",Movimientos!D36)</f>
        <v/>
      </c>
      <c r="E36" s="1" t="str">
        <f>IF(OR(Movimientos!B36="",Movimientos!F36=""),"",Movimientos!F36)</f>
        <v/>
      </c>
      <c r="F36" s="1" t="str">
        <f t="array" ref="F36">IF(E36="","",INDEX('Configuración'!$D$15:$D$134,MATCH(E36,'Configuración'!$E$15:$E$134,0)))</f>
        <v/>
      </c>
      <c r="G36" s="1" t="str">
        <f>IF(OR(Movimientos!B36="",Movimientos!G36=""),"",Movimientos!G36)</f>
        <v/>
      </c>
      <c r="H36" s="1" t="str">
        <f>IF(OR(Movimientos!B36="",Movimientos!H36=""),"",Movimientos!H36)</f>
        <v/>
      </c>
      <c r="I36" s="54" t="str">
        <f>IF(OR(Movimientos!B36="",Movimientos!I36=""),"",Movimientos!I36)</f>
        <v/>
      </c>
      <c r="J36" s="54" t="str">
        <f>IF(OR(Movimientos!B36="",Movimientos!J36=""),"",Movimientos!J36)</f>
        <v/>
      </c>
      <c r="K36" s="54" t="str">
        <f t="shared" si="1"/>
        <v/>
      </c>
      <c r="L36" s="54" t="str">
        <f t="shared" si="2"/>
        <v/>
      </c>
      <c r="M36" s="54" t="str">
        <f t="shared" si="3"/>
        <v/>
      </c>
      <c r="N36" s="1" t="str">
        <f t="shared" si="4"/>
        <v/>
      </c>
      <c r="O36" s="1"/>
      <c r="P36" s="1"/>
      <c r="Q36" s="1"/>
      <c r="R36" s="1"/>
    </row>
    <row r="37" ht="24.75" customHeight="1">
      <c r="A37" s="1"/>
      <c r="B37" s="1" t="str">
        <f>IF(OR(Movimientos!B37="",Movimientos!B37=""),"",Movimientos!B37)</f>
        <v/>
      </c>
      <c r="C37" s="36" t="str">
        <f>IF(OR(Movimientos!B37="",Movimientos!C37=""),"",Movimientos!C37)</f>
        <v/>
      </c>
      <c r="D37" s="1" t="str">
        <f>IF(OR(Movimientos!B37="",Movimientos!D37=""),"",Movimientos!D37)</f>
        <v/>
      </c>
      <c r="E37" s="1" t="str">
        <f>IF(OR(Movimientos!B37="",Movimientos!F37=""),"",Movimientos!F37)</f>
        <v/>
      </c>
      <c r="F37" s="1" t="str">
        <f t="array" ref="F37">IF(E37="","",INDEX('Configuración'!$D$15:$D$134,MATCH(E37,'Configuración'!$E$15:$E$134,0)))</f>
        <v/>
      </c>
      <c r="G37" s="1" t="str">
        <f>IF(OR(Movimientos!B37="",Movimientos!G37=""),"",Movimientos!G37)</f>
        <v/>
      </c>
      <c r="H37" s="1" t="str">
        <f>IF(OR(Movimientos!B37="",Movimientos!H37=""),"",Movimientos!H37)</f>
        <v/>
      </c>
      <c r="I37" s="54" t="str">
        <f>IF(OR(Movimientos!B37="",Movimientos!I37=""),"",Movimientos!I37)</f>
        <v/>
      </c>
      <c r="J37" s="54" t="str">
        <f>IF(OR(Movimientos!B37="",Movimientos!J37=""),"",Movimientos!J37)</f>
        <v/>
      </c>
      <c r="K37" s="54" t="str">
        <f t="shared" si="1"/>
        <v/>
      </c>
      <c r="L37" s="54" t="str">
        <f t="shared" si="2"/>
        <v/>
      </c>
      <c r="M37" s="54" t="str">
        <f t="shared" si="3"/>
        <v/>
      </c>
      <c r="N37" s="1" t="str">
        <f t="shared" si="4"/>
        <v/>
      </c>
      <c r="O37" s="1"/>
      <c r="P37" s="1"/>
      <c r="Q37" s="1"/>
      <c r="R37" s="1"/>
    </row>
    <row r="38" ht="24.75" customHeight="1">
      <c r="A38" s="1"/>
      <c r="B38" s="1" t="str">
        <f>IF(OR(Movimientos!B38="",Movimientos!B38=""),"",Movimientos!B38)</f>
        <v/>
      </c>
      <c r="C38" s="36" t="str">
        <f>IF(OR(Movimientos!B38="",Movimientos!C38=""),"",Movimientos!C38)</f>
        <v/>
      </c>
      <c r="D38" s="1" t="str">
        <f>IF(OR(Movimientos!B38="",Movimientos!D38=""),"",Movimientos!D38)</f>
        <v/>
      </c>
      <c r="E38" s="1" t="str">
        <f>IF(OR(Movimientos!B38="",Movimientos!F38=""),"",Movimientos!F38)</f>
        <v/>
      </c>
      <c r="F38" s="1" t="str">
        <f t="array" ref="F38">IF(E38="","",INDEX('Configuración'!$D$15:$D$134,MATCH(E38,'Configuración'!$E$15:$E$134,0)))</f>
        <v/>
      </c>
      <c r="G38" s="1" t="str">
        <f>IF(OR(Movimientos!B38="",Movimientos!G38=""),"",Movimientos!G38)</f>
        <v/>
      </c>
      <c r="H38" s="1" t="str">
        <f>IF(OR(Movimientos!B38="",Movimientos!H38=""),"",Movimientos!H38)</f>
        <v/>
      </c>
      <c r="I38" s="54" t="str">
        <f>IF(OR(Movimientos!B38="",Movimientos!I38=""),"",Movimientos!I38)</f>
        <v/>
      </c>
      <c r="J38" s="54" t="str">
        <f>IF(OR(Movimientos!B38="",Movimientos!J38=""),"",Movimientos!J38)</f>
        <v/>
      </c>
      <c r="K38" s="54" t="str">
        <f t="shared" si="1"/>
        <v/>
      </c>
      <c r="L38" s="54" t="str">
        <f t="shared" si="2"/>
        <v/>
      </c>
      <c r="M38" s="54" t="str">
        <f t="shared" si="3"/>
        <v/>
      </c>
      <c r="N38" s="1" t="str">
        <f t="shared" si="4"/>
        <v/>
      </c>
      <c r="O38" s="1"/>
      <c r="P38" s="1"/>
      <c r="Q38" s="1"/>
      <c r="R38" s="1"/>
    </row>
    <row r="39" ht="24.75" customHeight="1">
      <c r="A39" s="1"/>
      <c r="B39" s="1" t="str">
        <f>IF(OR(Movimientos!B39="",Movimientos!B39=""),"",Movimientos!B39)</f>
        <v/>
      </c>
      <c r="C39" s="36" t="str">
        <f>IF(OR(Movimientos!B39="",Movimientos!C39=""),"",Movimientos!C39)</f>
        <v/>
      </c>
      <c r="D39" s="1" t="str">
        <f>IF(OR(Movimientos!B39="",Movimientos!D39=""),"",Movimientos!D39)</f>
        <v/>
      </c>
      <c r="E39" s="1" t="str">
        <f>IF(OR(Movimientos!B39="",Movimientos!F39=""),"",Movimientos!F39)</f>
        <v/>
      </c>
      <c r="F39" s="1" t="str">
        <f t="array" ref="F39">IF(E39="","",INDEX('Configuración'!$D$15:$D$134,MATCH(E39,'Configuración'!$E$15:$E$134,0)))</f>
        <v/>
      </c>
      <c r="G39" s="1" t="str">
        <f>IF(OR(Movimientos!B39="",Movimientos!G39=""),"",Movimientos!G39)</f>
        <v/>
      </c>
      <c r="H39" s="1" t="str">
        <f>IF(OR(Movimientos!B39="",Movimientos!H39=""),"",Movimientos!H39)</f>
        <v/>
      </c>
      <c r="I39" s="54" t="str">
        <f>IF(OR(Movimientos!B39="",Movimientos!I39=""),"",Movimientos!I39)</f>
        <v/>
      </c>
      <c r="J39" s="54" t="str">
        <f>IF(OR(Movimientos!B39="",Movimientos!J39=""),"",Movimientos!J39)</f>
        <v/>
      </c>
      <c r="K39" s="54" t="str">
        <f t="shared" si="1"/>
        <v/>
      </c>
      <c r="L39" s="54" t="str">
        <f t="shared" si="2"/>
        <v/>
      </c>
      <c r="M39" s="54" t="str">
        <f t="shared" si="3"/>
        <v/>
      </c>
      <c r="N39" s="1" t="str">
        <f t="shared" si="4"/>
        <v/>
      </c>
      <c r="O39" s="1"/>
      <c r="P39" s="1"/>
      <c r="Q39" s="1"/>
      <c r="R39" s="1"/>
    </row>
    <row r="40" ht="24.75" customHeight="1">
      <c r="A40" s="1"/>
      <c r="B40" s="1" t="str">
        <f>IF(OR(Movimientos!B40="",Movimientos!B40=""),"",Movimientos!B40)</f>
        <v/>
      </c>
      <c r="C40" s="36" t="str">
        <f>IF(OR(Movimientos!B40="",Movimientos!C40=""),"",Movimientos!C40)</f>
        <v/>
      </c>
      <c r="D40" s="1" t="str">
        <f>IF(OR(Movimientos!B40="",Movimientos!D40=""),"",Movimientos!D40)</f>
        <v/>
      </c>
      <c r="E40" s="1" t="str">
        <f>IF(OR(Movimientos!B40="",Movimientos!F40=""),"",Movimientos!F40)</f>
        <v/>
      </c>
      <c r="F40" s="1" t="str">
        <f t="array" ref="F40">IF(E40="","",INDEX('Configuración'!$D$15:$D$134,MATCH(E40,'Configuración'!$E$15:$E$134,0)))</f>
        <v/>
      </c>
      <c r="G40" s="1" t="str">
        <f>IF(OR(Movimientos!B40="",Movimientos!G40=""),"",Movimientos!G40)</f>
        <v/>
      </c>
      <c r="H40" s="1" t="str">
        <f>IF(OR(Movimientos!B40="",Movimientos!H40=""),"",Movimientos!H40)</f>
        <v/>
      </c>
      <c r="I40" s="54" t="str">
        <f>IF(OR(Movimientos!B40="",Movimientos!I40=""),"",Movimientos!I40)</f>
        <v/>
      </c>
      <c r="J40" s="54" t="str">
        <f>IF(OR(Movimientos!B40="",Movimientos!J40=""),"",Movimientos!J40)</f>
        <v/>
      </c>
      <c r="K40" s="54" t="str">
        <f t="shared" si="1"/>
        <v/>
      </c>
      <c r="L40" s="54" t="str">
        <f t="shared" si="2"/>
        <v/>
      </c>
      <c r="M40" s="54" t="str">
        <f t="shared" si="3"/>
        <v/>
      </c>
      <c r="N40" s="1" t="str">
        <f t="shared" si="4"/>
        <v/>
      </c>
      <c r="O40" s="1"/>
      <c r="P40" s="1"/>
      <c r="Q40" s="1"/>
      <c r="R40" s="1"/>
    </row>
    <row r="41" ht="24.75" customHeight="1">
      <c r="A41" s="1"/>
      <c r="B41" s="1" t="str">
        <f>IF(OR(Movimientos!B41="",Movimientos!B41=""),"",Movimientos!B41)</f>
        <v/>
      </c>
      <c r="C41" s="36" t="str">
        <f>IF(OR(Movimientos!B41="",Movimientos!C41=""),"",Movimientos!C41)</f>
        <v/>
      </c>
      <c r="D41" s="1" t="str">
        <f>IF(OR(Movimientos!B41="",Movimientos!D41=""),"",Movimientos!D41)</f>
        <v/>
      </c>
      <c r="E41" s="1" t="str">
        <f>IF(OR(Movimientos!B41="",Movimientos!F41=""),"",Movimientos!F41)</f>
        <v/>
      </c>
      <c r="F41" s="1" t="str">
        <f t="array" ref="F41">IF(E41="","",INDEX('Configuración'!$D$15:$D$134,MATCH(E41,'Configuración'!$E$15:$E$134,0)))</f>
        <v/>
      </c>
      <c r="G41" s="1" t="str">
        <f>IF(OR(Movimientos!B41="",Movimientos!G41=""),"",Movimientos!G41)</f>
        <v/>
      </c>
      <c r="H41" s="1" t="str">
        <f>IF(OR(Movimientos!B41="",Movimientos!H41=""),"",Movimientos!H41)</f>
        <v/>
      </c>
      <c r="I41" s="54" t="str">
        <f>IF(OR(Movimientos!B41="",Movimientos!I41=""),"",Movimientos!I41)</f>
        <v/>
      </c>
      <c r="J41" s="54" t="str">
        <f>IF(OR(Movimientos!B41="",Movimientos!J41=""),"",Movimientos!J41)</f>
        <v/>
      </c>
      <c r="K41" s="54" t="str">
        <f t="shared" si="1"/>
        <v/>
      </c>
      <c r="L41" s="54" t="str">
        <f t="shared" si="2"/>
        <v/>
      </c>
      <c r="M41" s="54" t="str">
        <f t="shared" si="3"/>
        <v/>
      </c>
      <c r="N41" s="1" t="str">
        <f t="shared" si="4"/>
        <v/>
      </c>
      <c r="O41" s="1"/>
      <c r="P41" s="1"/>
      <c r="Q41" s="1"/>
      <c r="R41" s="1"/>
    </row>
    <row r="42" ht="24.75" customHeight="1">
      <c r="A42" s="1"/>
      <c r="B42" s="1" t="str">
        <f>IF(OR(Movimientos!B42="",Movimientos!B42=""),"",Movimientos!B42)</f>
        <v/>
      </c>
      <c r="C42" s="36" t="str">
        <f>IF(OR(Movimientos!B42="",Movimientos!C42=""),"",Movimientos!C42)</f>
        <v/>
      </c>
      <c r="D42" s="1" t="str">
        <f>IF(OR(Movimientos!B42="",Movimientos!D42=""),"",Movimientos!D42)</f>
        <v/>
      </c>
      <c r="E42" s="1" t="str">
        <f>IF(OR(Movimientos!B42="",Movimientos!F42=""),"",Movimientos!F42)</f>
        <v/>
      </c>
      <c r="F42" s="1" t="str">
        <f t="array" ref="F42">IF(E42="","",INDEX('Configuración'!$D$15:$D$134,MATCH(E42,'Configuración'!$E$15:$E$134,0)))</f>
        <v/>
      </c>
      <c r="G42" s="1" t="str">
        <f>IF(OR(Movimientos!B42="",Movimientos!G42=""),"",Movimientos!G42)</f>
        <v/>
      </c>
      <c r="H42" s="1" t="str">
        <f>IF(OR(Movimientos!B42="",Movimientos!H42=""),"",Movimientos!H42)</f>
        <v/>
      </c>
      <c r="I42" s="54" t="str">
        <f>IF(OR(Movimientos!B42="",Movimientos!I42=""),"",Movimientos!I42)</f>
        <v/>
      </c>
      <c r="J42" s="54" t="str">
        <f>IF(OR(Movimientos!B42="",Movimientos!J42=""),"",Movimientos!J42)</f>
        <v/>
      </c>
      <c r="K42" s="54" t="str">
        <f t="shared" si="1"/>
        <v/>
      </c>
      <c r="L42" s="54" t="str">
        <f t="shared" si="2"/>
        <v/>
      </c>
      <c r="M42" s="54" t="str">
        <f t="shared" si="3"/>
        <v/>
      </c>
      <c r="N42" s="1" t="str">
        <f t="shared" si="4"/>
        <v/>
      </c>
      <c r="O42" s="1"/>
      <c r="P42" s="1"/>
      <c r="Q42" s="1"/>
      <c r="R42" s="1"/>
    </row>
    <row r="43" ht="24.75" customHeight="1">
      <c r="A43" s="1"/>
      <c r="B43" s="1" t="str">
        <f>IF(OR(Movimientos!B43="",Movimientos!B43=""),"",Movimientos!B43)</f>
        <v/>
      </c>
      <c r="C43" s="36" t="str">
        <f>IF(OR(Movimientos!B43="",Movimientos!C43=""),"",Movimientos!C43)</f>
        <v/>
      </c>
      <c r="D43" s="1" t="str">
        <f>IF(OR(Movimientos!B43="",Movimientos!D43=""),"",Movimientos!D43)</f>
        <v/>
      </c>
      <c r="E43" s="1" t="str">
        <f>IF(OR(Movimientos!B43="",Movimientos!F43=""),"",Movimientos!F43)</f>
        <v/>
      </c>
      <c r="F43" s="1" t="str">
        <f t="array" ref="F43">IF(E43="","",INDEX('Configuración'!$D$15:$D$134,MATCH(E43,'Configuración'!$E$15:$E$134,0)))</f>
        <v/>
      </c>
      <c r="G43" s="1" t="str">
        <f>IF(OR(Movimientos!B43="",Movimientos!G43=""),"",Movimientos!G43)</f>
        <v/>
      </c>
      <c r="H43" s="1" t="str">
        <f>IF(OR(Movimientos!B43="",Movimientos!H43=""),"",Movimientos!H43)</f>
        <v/>
      </c>
      <c r="I43" s="54" t="str">
        <f>IF(OR(Movimientos!B43="",Movimientos!I43=""),"",Movimientos!I43)</f>
        <v/>
      </c>
      <c r="J43" s="54" t="str">
        <f>IF(OR(Movimientos!B43="",Movimientos!J43=""),"",Movimientos!J43)</f>
        <v/>
      </c>
      <c r="K43" s="54" t="str">
        <f t="shared" si="1"/>
        <v/>
      </c>
      <c r="L43" s="54" t="str">
        <f t="shared" si="2"/>
        <v/>
      </c>
      <c r="M43" s="54" t="str">
        <f t="shared" si="3"/>
        <v/>
      </c>
      <c r="N43" s="1" t="str">
        <f t="shared" si="4"/>
        <v/>
      </c>
      <c r="O43" s="1"/>
      <c r="P43" s="1"/>
      <c r="Q43" s="1"/>
      <c r="R43" s="1"/>
    </row>
    <row r="44" ht="24.75" customHeight="1">
      <c r="A44" s="1"/>
      <c r="B44" s="1" t="str">
        <f>IF(OR(Movimientos!B44="",Movimientos!B44=""),"",Movimientos!B44)</f>
        <v/>
      </c>
      <c r="C44" s="36" t="str">
        <f>IF(OR(Movimientos!B44="",Movimientos!C44=""),"",Movimientos!C44)</f>
        <v/>
      </c>
      <c r="D44" s="1" t="str">
        <f>IF(OR(Movimientos!B44="",Movimientos!D44=""),"",Movimientos!D44)</f>
        <v/>
      </c>
      <c r="E44" s="1" t="str">
        <f>IF(OR(Movimientos!B44="",Movimientos!F44=""),"",Movimientos!F44)</f>
        <v/>
      </c>
      <c r="F44" s="1" t="str">
        <f t="array" ref="F44">IF(E44="","",INDEX('Configuración'!$D$15:$D$134,MATCH(E44,'Configuración'!$E$15:$E$134,0)))</f>
        <v/>
      </c>
      <c r="G44" s="1" t="str">
        <f>IF(OR(Movimientos!B44="",Movimientos!G44=""),"",Movimientos!G44)</f>
        <v/>
      </c>
      <c r="H44" s="1" t="str">
        <f>IF(OR(Movimientos!B44="",Movimientos!H44=""),"",Movimientos!H44)</f>
        <v/>
      </c>
      <c r="I44" s="54" t="str">
        <f>IF(OR(Movimientos!B44="",Movimientos!I44=""),"",Movimientos!I44)</f>
        <v/>
      </c>
      <c r="J44" s="54" t="str">
        <f>IF(OR(Movimientos!B44="",Movimientos!J44=""),"",Movimientos!J44)</f>
        <v/>
      </c>
      <c r="K44" s="54" t="str">
        <f t="shared" si="1"/>
        <v/>
      </c>
      <c r="L44" s="54" t="str">
        <f t="shared" si="2"/>
        <v/>
      </c>
      <c r="M44" s="54" t="str">
        <f t="shared" si="3"/>
        <v/>
      </c>
      <c r="N44" s="1" t="str">
        <f t="shared" si="4"/>
        <v/>
      </c>
      <c r="O44" s="1"/>
      <c r="P44" s="1"/>
      <c r="Q44" s="1"/>
      <c r="R44" s="1"/>
    </row>
    <row r="45" ht="24.75" customHeight="1">
      <c r="A45" s="1"/>
      <c r="B45" s="1" t="str">
        <f>IF(OR(Movimientos!B45="",Movimientos!B45=""),"",Movimientos!B45)</f>
        <v/>
      </c>
      <c r="C45" s="36" t="str">
        <f>IF(OR(Movimientos!B45="",Movimientos!C45=""),"",Movimientos!C45)</f>
        <v/>
      </c>
      <c r="D45" s="1" t="str">
        <f>IF(OR(Movimientos!B45="",Movimientos!D45=""),"",Movimientos!D45)</f>
        <v/>
      </c>
      <c r="E45" s="1" t="str">
        <f>IF(OR(Movimientos!B45="",Movimientos!F45=""),"",Movimientos!F45)</f>
        <v/>
      </c>
      <c r="F45" s="1" t="str">
        <f t="array" ref="F45">IF(E45="","",INDEX('Configuración'!$D$15:$D$134,MATCH(E45,'Configuración'!$E$15:$E$134,0)))</f>
        <v/>
      </c>
      <c r="G45" s="1" t="str">
        <f>IF(OR(Movimientos!B45="",Movimientos!G45=""),"",Movimientos!G45)</f>
        <v/>
      </c>
      <c r="H45" s="1" t="str">
        <f>IF(OR(Movimientos!B45="",Movimientos!H45=""),"",Movimientos!H45)</f>
        <v/>
      </c>
      <c r="I45" s="54" t="str">
        <f>IF(OR(Movimientos!B45="",Movimientos!I45=""),"",Movimientos!I45)</f>
        <v/>
      </c>
      <c r="J45" s="54" t="str">
        <f>IF(OR(Movimientos!B45="",Movimientos!J45=""),"",Movimientos!J45)</f>
        <v/>
      </c>
      <c r="K45" s="54" t="str">
        <f t="shared" si="1"/>
        <v/>
      </c>
      <c r="L45" s="54" t="str">
        <f t="shared" si="2"/>
        <v/>
      </c>
      <c r="M45" s="54" t="str">
        <f t="shared" si="3"/>
        <v/>
      </c>
      <c r="N45" s="1" t="str">
        <f t="shared" si="4"/>
        <v/>
      </c>
      <c r="O45" s="1"/>
      <c r="P45" s="1"/>
      <c r="Q45" s="1"/>
      <c r="R45" s="1"/>
    </row>
    <row r="46" ht="24.75" customHeight="1">
      <c r="A46" s="1"/>
      <c r="B46" s="1" t="str">
        <f>IF(OR(Movimientos!B46="",Movimientos!B46=""),"",Movimientos!B46)</f>
        <v/>
      </c>
      <c r="C46" s="36" t="str">
        <f>IF(OR(Movimientos!B46="",Movimientos!C46=""),"",Movimientos!C46)</f>
        <v/>
      </c>
      <c r="D46" s="1" t="str">
        <f>IF(OR(Movimientos!B46="",Movimientos!D46=""),"",Movimientos!D46)</f>
        <v/>
      </c>
      <c r="E46" s="1" t="str">
        <f>IF(OR(Movimientos!B46="",Movimientos!F46=""),"",Movimientos!F46)</f>
        <v/>
      </c>
      <c r="F46" s="1" t="str">
        <f t="array" ref="F46">IF(E46="","",INDEX('Configuración'!$D$15:$D$134,MATCH(E46,'Configuración'!$E$15:$E$134,0)))</f>
        <v/>
      </c>
      <c r="G46" s="1" t="str">
        <f>IF(OR(Movimientos!B46="",Movimientos!G46=""),"",Movimientos!G46)</f>
        <v/>
      </c>
      <c r="H46" s="1" t="str">
        <f>IF(OR(Movimientos!B46="",Movimientos!H46=""),"",Movimientos!H46)</f>
        <v/>
      </c>
      <c r="I46" s="54" t="str">
        <f>IF(OR(Movimientos!B46="",Movimientos!I46=""),"",Movimientos!I46)</f>
        <v/>
      </c>
      <c r="J46" s="54" t="str">
        <f>IF(OR(Movimientos!B46="",Movimientos!J46=""),"",Movimientos!J46)</f>
        <v/>
      </c>
      <c r="K46" s="54" t="str">
        <f t="shared" si="1"/>
        <v/>
      </c>
      <c r="L46" s="54" t="str">
        <f t="shared" si="2"/>
        <v/>
      </c>
      <c r="M46" s="54" t="str">
        <f t="shared" si="3"/>
        <v/>
      </c>
      <c r="N46" s="1" t="str">
        <f t="shared" si="4"/>
        <v/>
      </c>
      <c r="O46" s="1"/>
      <c r="P46" s="1"/>
      <c r="Q46" s="1"/>
      <c r="R46" s="1"/>
    </row>
    <row r="47" ht="24.75" customHeight="1">
      <c r="A47" s="1"/>
      <c r="B47" s="1" t="str">
        <f>IF(OR(Movimientos!B47="",Movimientos!B47=""),"",Movimientos!B47)</f>
        <v/>
      </c>
      <c r="C47" s="36" t="str">
        <f>IF(OR(Movimientos!B47="",Movimientos!C47=""),"",Movimientos!C47)</f>
        <v/>
      </c>
      <c r="D47" s="1" t="str">
        <f>IF(OR(Movimientos!B47="",Movimientos!D47=""),"",Movimientos!D47)</f>
        <v/>
      </c>
      <c r="E47" s="1" t="str">
        <f>IF(OR(Movimientos!B47="",Movimientos!F47=""),"",Movimientos!F47)</f>
        <v/>
      </c>
      <c r="F47" s="1" t="str">
        <f t="array" ref="F47">IF(E47="","",INDEX('Configuración'!$D$15:$D$134,MATCH(E47,'Configuración'!$E$15:$E$134,0)))</f>
        <v/>
      </c>
      <c r="G47" s="1" t="str">
        <f>IF(OR(Movimientos!B47="",Movimientos!G47=""),"",Movimientos!G47)</f>
        <v/>
      </c>
      <c r="H47" s="1" t="str">
        <f>IF(OR(Movimientos!B47="",Movimientos!H47=""),"",Movimientos!H47)</f>
        <v/>
      </c>
      <c r="I47" s="54" t="str">
        <f>IF(OR(Movimientos!B47="",Movimientos!I47=""),"",Movimientos!I47)</f>
        <v/>
      </c>
      <c r="J47" s="54" t="str">
        <f>IF(OR(Movimientos!B47="",Movimientos!J47=""),"",Movimientos!J47)</f>
        <v/>
      </c>
      <c r="K47" s="54" t="str">
        <f t="shared" si="1"/>
        <v/>
      </c>
      <c r="L47" s="54" t="str">
        <f t="shared" si="2"/>
        <v/>
      </c>
      <c r="M47" s="54" t="str">
        <f t="shared" si="3"/>
        <v/>
      </c>
      <c r="N47" s="1" t="str">
        <f t="shared" si="4"/>
        <v/>
      </c>
      <c r="O47" s="1"/>
      <c r="P47" s="1"/>
      <c r="Q47" s="1"/>
      <c r="R47" s="1"/>
    </row>
    <row r="48" ht="24.75" customHeight="1">
      <c r="A48" s="1"/>
      <c r="B48" s="1" t="str">
        <f>IF(OR(Movimientos!B48="",Movimientos!B48=""),"",Movimientos!B48)</f>
        <v/>
      </c>
      <c r="C48" s="36" t="str">
        <f>IF(OR(Movimientos!B48="",Movimientos!C48=""),"",Movimientos!C48)</f>
        <v/>
      </c>
      <c r="D48" s="1" t="str">
        <f>IF(OR(Movimientos!B48="",Movimientos!D48=""),"",Movimientos!D48)</f>
        <v/>
      </c>
      <c r="E48" s="1" t="str">
        <f>IF(OR(Movimientos!B48="",Movimientos!F48=""),"",Movimientos!F48)</f>
        <v/>
      </c>
      <c r="F48" s="1" t="str">
        <f t="array" ref="F48">IF(E48="","",INDEX('Configuración'!$D$15:$D$134,MATCH(E48,'Configuración'!$E$15:$E$134,0)))</f>
        <v/>
      </c>
      <c r="G48" s="1" t="str">
        <f>IF(OR(Movimientos!B48="",Movimientos!G48=""),"",Movimientos!G48)</f>
        <v/>
      </c>
      <c r="H48" s="1" t="str">
        <f>IF(OR(Movimientos!B48="",Movimientos!H48=""),"",Movimientos!H48)</f>
        <v/>
      </c>
      <c r="I48" s="54" t="str">
        <f>IF(OR(Movimientos!B48="",Movimientos!I48=""),"",Movimientos!I48)</f>
        <v/>
      </c>
      <c r="J48" s="54" t="str">
        <f>IF(OR(Movimientos!B48="",Movimientos!J48=""),"",Movimientos!J48)</f>
        <v/>
      </c>
      <c r="K48" s="54" t="str">
        <f t="shared" si="1"/>
        <v/>
      </c>
      <c r="L48" s="54" t="str">
        <f t="shared" si="2"/>
        <v/>
      </c>
      <c r="M48" s="54" t="str">
        <f t="shared" si="3"/>
        <v/>
      </c>
      <c r="N48" s="1" t="str">
        <f t="shared" si="4"/>
        <v/>
      </c>
      <c r="O48" s="1"/>
      <c r="P48" s="1"/>
      <c r="Q48" s="1"/>
      <c r="R48" s="1"/>
    </row>
    <row r="49" ht="24.75" customHeight="1">
      <c r="A49" s="1"/>
      <c r="B49" s="1" t="str">
        <f>IF(OR(Movimientos!B49="",Movimientos!B49=""),"",Movimientos!B49)</f>
        <v/>
      </c>
      <c r="C49" s="36" t="str">
        <f>IF(OR(Movimientos!B49="",Movimientos!C49=""),"",Movimientos!C49)</f>
        <v/>
      </c>
      <c r="D49" s="1" t="str">
        <f>IF(OR(Movimientos!B49="",Movimientos!D49=""),"",Movimientos!D49)</f>
        <v/>
      </c>
      <c r="E49" s="1" t="str">
        <f>IF(OR(Movimientos!B49="",Movimientos!F49=""),"",Movimientos!F49)</f>
        <v/>
      </c>
      <c r="F49" s="1" t="str">
        <f t="array" ref="F49">IF(E49="","",INDEX('Configuración'!$D$15:$D$134,MATCH(E49,'Configuración'!$E$15:$E$134,0)))</f>
        <v/>
      </c>
      <c r="G49" s="1" t="str">
        <f>IF(OR(Movimientos!B49="",Movimientos!G49=""),"",Movimientos!G49)</f>
        <v/>
      </c>
      <c r="H49" s="1" t="str">
        <f>IF(OR(Movimientos!B49="",Movimientos!H49=""),"",Movimientos!H49)</f>
        <v/>
      </c>
      <c r="I49" s="54" t="str">
        <f>IF(OR(Movimientos!B49="",Movimientos!I49=""),"",Movimientos!I49)</f>
        <v/>
      </c>
      <c r="J49" s="54" t="str">
        <f>IF(OR(Movimientos!B49="",Movimientos!J49=""),"",Movimientos!J49)</f>
        <v/>
      </c>
      <c r="K49" s="54" t="str">
        <f t="shared" si="1"/>
        <v/>
      </c>
      <c r="L49" s="54" t="str">
        <f t="shared" si="2"/>
        <v/>
      </c>
      <c r="M49" s="54" t="str">
        <f t="shared" si="3"/>
        <v/>
      </c>
      <c r="N49" s="1" t="str">
        <f t="shared" si="4"/>
        <v/>
      </c>
      <c r="O49" s="1"/>
      <c r="P49" s="1"/>
      <c r="Q49" s="1"/>
      <c r="R49" s="1"/>
    </row>
    <row r="50" ht="24.75" customHeight="1">
      <c r="A50" s="1"/>
      <c r="B50" s="1" t="str">
        <f>IF(OR(Movimientos!B50="",Movimientos!B50=""),"",Movimientos!B50)</f>
        <v/>
      </c>
      <c r="C50" s="36" t="str">
        <f>IF(OR(Movimientos!B50="",Movimientos!C50=""),"",Movimientos!C50)</f>
        <v/>
      </c>
      <c r="D50" s="1" t="str">
        <f>IF(OR(Movimientos!B50="",Movimientos!D50=""),"",Movimientos!D50)</f>
        <v/>
      </c>
      <c r="E50" s="1" t="str">
        <f>IF(OR(Movimientos!B50="",Movimientos!F50=""),"",Movimientos!F50)</f>
        <v/>
      </c>
      <c r="F50" s="1" t="str">
        <f t="array" ref="F50">IF(E50="","",INDEX('Configuración'!$D$15:$D$134,MATCH(E50,'Configuración'!$E$15:$E$134,0)))</f>
        <v/>
      </c>
      <c r="G50" s="1" t="str">
        <f>IF(OR(Movimientos!B50="",Movimientos!G50=""),"",Movimientos!G50)</f>
        <v/>
      </c>
      <c r="H50" s="1" t="str">
        <f>IF(OR(Movimientos!B50="",Movimientos!H50=""),"",Movimientos!H50)</f>
        <v/>
      </c>
      <c r="I50" s="54" t="str">
        <f>IF(OR(Movimientos!B50="",Movimientos!I50=""),"",Movimientos!I50)</f>
        <v/>
      </c>
      <c r="J50" s="54" t="str">
        <f>IF(OR(Movimientos!B50="",Movimientos!J50=""),"",Movimientos!J50)</f>
        <v/>
      </c>
      <c r="K50" s="54" t="str">
        <f t="shared" si="1"/>
        <v/>
      </c>
      <c r="L50" s="54" t="str">
        <f t="shared" si="2"/>
        <v/>
      </c>
      <c r="M50" s="54" t="str">
        <f t="shared" si="3"/>
        <v/>
      </c>
      <c r="N50" s="1" t="str">
        <f t="shared" si="4"/>
        <v/>
      </c>
      <c r="O50" s="1"/>
      <c r="P50" s="1"/>
      <c r="Q50" s="1"/>
      <c r="R50" s="1"/>
    </row>
    <row r="51" ht="24.75" customHeight="1">
      <c r="A51" s="1"/>
      <c r="B51" s="1" t="str">
        <f>IF(OR(Movimientos!B51="",Movimientos!B51=""),"",Movimientos!B51)</f>
        <v/>
      </c>
      <c r="C51" s="36" t="str">
        <f>IF(OR(Movimientos!B51="",Movimientos!C51=""),"",Movimientos!C51)</f>
        <v/>
      </c>
      <c r="D51" s="1" t="str">
        <f>IF(OR(Movimientos!B51="",Movimientos!D51=""),"",Movimientos!D51)</f>
        <v/>
      </c>
      <c r="E51" s="1" t="str">
        <f>IF(OR(Movimientos!B51="",Movimientos!F51=""),"",Movimientos!F51)</f>
        <v/>
      </c>
      <c r="F51" s="1" t="str">
        <f t="array" ref="F51">IF(E51="","",INDEX('Configuración'!$D$15:$D$134,MATCH(E51,'Configuración'!$E$15:$E$134,0)))</f>
        <v/>
      </c>
      <c r="G51" s="1" t="str">
        <f>IF(OR(Movimientos!B51="",Movimientos!G51=""),"",Movimientos!G51)</f>
        <v/>
      </c>
      <c r="H51" s="1" t="str">
        <f>IF(OR(Movimientos!B51="",Movimientos!H51=""),"",Movimientos!H51)</f>
        <v/>
      </c>
      <c r="I51" s="54" t="str">
        <f>IF(OR(Movimientos!B51="",Movimientos!I51=""),"",Movimientos!I51)</f>
        <v/>
      </c>
      <c r="J51" s="54" t="str">
        <f>IF(OR(Movimientos!B51="",Movimientos!J51=""),"",Movimientos!J51)</f>
        <v/>
      </c>
      <c r="K51" s="54" t="str">
        <f t="shared" si="1"/>
        <v/>
      </c>
      <c r="L51" s="54" t="str">
        <f t="shared" si="2"/>
        <v/>
      </c>
      <c r="M51" s="54" t="str">
        <f t="shared" si="3"/>
        <v/>
      </c>
      <c r="N51" s="1" t="str">
        <f t="shared" si="4"/>
        <v/>
      </c>
      <c r="O51" s="1"/>
      <c r="P51" s="1"/>
      <c r="Q51" s="1"/>
      <c r="R51" s="1"/>
    </row>
    <row r="52" ht="24.75" customHeight="1">
      <c r="A52" s="1"/>
      <c r="B52" s="1" t="str">
        <f>IF(OR(Movimientos!B52="",Movimientos!B52=""),"",Movimientos!B52)</f>
        <v/>
      </c>
      <c r="C52" s="36" t="str">
        <f>IF(OR(Movimientos!B52="",Movimientos!C52=""),"",Movimientos!C52)</f>
        <v/>
      </c>
      <c r="D52" s="1" t="str">
        <f>IF(OR(Movimientos!B52="",Movimientos!D52=""),"",Movimientos!D52)</f>
        <v/>
      </c>
      <c r="E52" s="1" t="str">
        <f>IF(OR(Movimientos!B52="",Movimientos!F52=""),"",Movimientos!F52)</f>
        <v/>
      </c>
      <c r="F52" s="1" t="str">
        <f t="array" ref="F52">IF(E52="","",INDEX('Configuración'!$D$15:$D$134,MATCH(E52,'Configuración'!$E$15:$E$134,0)))</f>
        <v/>
      </c>
      <c r="G52" s="1" t="str">
        <f>IF(OR(Movimientos!B52="",Movimientos!G52=""),"",Movimientos!G52)</f>
        <v/>
      </c>
      <c r="H52" s="1" t="str">
        <f>IF(OR(Movimientos!B52="",Movimientos!H52=""),"",Movimientos!H52)</f>
        <v/>
      </c>
      <c r="I52" s="54" t="str">
        <f>IF(OR(Movimientos!B52="",Movimientos!I52=""),"",Movimientos!I52)</f>
        <v/>
      </c>
      <c r="J52" s="54" t="str">
        <f>IF(OR(Movimientos!B52="",Movimientos!J52=""),"",Movimientos!J52)</f>
        <v/>
      </c>
      <c r="K52" s="54" t="str">
        <f t="shared" si="1"/>
        <v/>
      </c>
      <c r="L52" s="54" t="str">
        <f t="shared" si="2"/>
        <v/>
      </c>
      <c r="M52" s="54" t="str">
        <f t="shared" si="3"/>
        <v/>
      </c>
      <c r="N52" s="1" t="str">
        <f t="shared" si="4"/>
        <v/>
      </c>
      <c r="O52" s="1"/>
      <c r="P52" s="1"/>
      <c r="Q52" s="1"/>
      <c r="R52" s="1"/>
    </row>
    <row r="53" ht="24.75" customHeight="1">
      <c r="A53" s="1"/>
      <c r="B53" s="1" t="str">
        <f>IF(OR(Movimientos!B53="",Movimientos!B53=""),"",Movimientos!B53)</f>
        <v/>
      </c>
      <c r="C53" s="36" t="str">
        <f>IF(OR(Movimientos!B53="",Movimientos!C53=""),"",Movimientos!C53)</f>
        <v/>
      </c>
      <c r="D53" s="1" t="str">
        <f>IF(OR(Movimientos!B53="",Movimientos!D53=""),"",Movimientos!D53)</f>
        <v/>
      </c>
      <c r="E53" s="1" t="str">
        <f>IF(OR(Movimientos!B53="",Movimientos!F53=""),"",Movimientos!F53)</f>
        <v/>
      </c>
      <c r="F53" s="1" t="str">
        <f t="array" ref="F53">IF(E53="","",INDEX('Configuración'!$D$15:$D$134,MATCH(E53,'Configuración'!$E$15:$E$134,0)))</f>
        <v/>
      </c>
      <c r="G53" s="1" t="str">
        <f>IF(OR(Movimientos!B53="",Movimientos!G53=""),"",Movimientos!G53)</f>
        <v/>
      </c>
      <c r="H53" s="1" t="str">
        <f>IF(OR(Movimientos!B53="",Movimientos!H53=""),"",Movimientos!H53)</f>
        <v/>
      </c>
      <c r="I53" s="54" t="str">
        <f>IF(OR(Movimientos!B53="",Movimientos!I53=""),"",Movimientos!I53)</f>
        <v/>
      </c>
      <c r="J53" s="54" t="str">
        <f>IF(OR(Movimientos!B53="",Movimientos!J53=""),"",Movimientos!J53)</f>
        <v/>
      </c>
      <c r="K53" s="54" t="str">
        <f t="shared" si="1"/>
        <v/>
      </c>
      <c r="L53" s="54" t="str">
        <f t="shared" si="2"/>
        <v/>
      </c>
      <c r="M53" s="54" t="str">
        <f t="shared" si="3"/>
        <v/>
      </c>
      <c r="N53" s="1" t="str">
        <f t="shared" si="4"/>
        <v/>
      </c>
      <c r="O53" s="1"/>
      <c r="P53" s="1"/>
      <c r="Q53" s="1"/>
      <c r="R53" s="1"/>
    </row>
    <row r="54" ht="24.75" customHeight="1">
      <c r="A54" s="1"/>
      <c r="B54" s="1" t="str">
        <f>IF(OR(Movimientos!B54="",Movimientos!B54=""),"",Movimientos!B54)</f>
        <v/>
      </c>
      <c r="C54" s="36" t="str">
        <f>IF(OR(Movimientos!B54="",Movimientos!C54=""),"",Movimientos!C54)</f>
        <v/>
      </c>
      <c r="D54" s="1" t="str">
        <f>IF(OR(Movimientos!B54="",Movimientos!D54=""),"",Movimientos!D54)</f>
        <v/>
      </c>
      <c r="E54" s="1" t="str">
        <f>IF(OR(Movimientos!B54="",Movimientos!F54=""),"",Movimientos!F54)</f>
        <v/>
      </c>
      <c r="F54" s="1" t="str">
        <f t="array" ref="F54">IF(E54="","",INDEX('Configuración'!$D$15:$D$134,MATCH(E54,'Configuración'!$E$15:$E$134,0)))</f>
        <v/>
      </c>
      <c r="G54" s="1" t="str">
        <f>IF(OR(Movimientos!B54="",Movimientos!G54=""),"",Movimientos!G54)</f>
        <v/>
      </c>
      <c r="H54" s="1" t="str">
        <f>IF(OR(Movimientos!B54="",Movimientos!H54=""),"",Movimientos!H54)</f>
        <v/>
      </c>
      <c r="I54" s="54" t="str">
        <f>IF(OR(Movimientos!B54="",Movimientos!I54=""),"",Movimientos!I54)</f>
        <v/>
      </c>
      <c r="J54" s="54" t="str">
        <f>IF(OR(Movimientos!B54="",Movimientos!J54=""),"",Movimientos!J54)</f>
        <v/>
      </c>
      <c r="K54" s="54" t="str">
        <f t="shared" si="1"/>
        <v/>
      </c>
      <c r="L54" s="54" t="str">
        <f t="shared" si="2"/>
        <v/>
      </c>
      <c r="M54" s="54" t="str">
        <f t="shared" si="3"/>
        <v/>
      </c>
      <c r="N54" s="1" t="str">
        <f t="shared" si="4"/>
        <v/>
      </c>
      <c r="O54" s="1"/>
      <c r="P54" s="1"/>
      <c r="Q54" s="1"/>
      <c r="R54" s="1"/>
    </row>
    <row r="55" ht="24.75" customHeight="1">
      <c r="A55" s="1"/>
      <c r="B55" s="1" t="str">
        <f>IF(OR(Movimientos!B55="",Movimientos!B55=""),"",Movimientos!B55)</f>
        <v/>
      </c>
      <c r="C55" s="36" t="str">
        <f>IF(OR(Movimientos!B55="",Movimientos!C55=""),"",Movimientos!C55)</f>
        <v/>
      </c>
      <c r="D55" s="1" t="str">
        <f>IF(OR(Movimientos!B55="",Movimientos!D55=""),"",Movimientos!D55)</f>
        <v/>
      </c>
      <c r="E55" s="1" t="str">
        <f>IF(OR(Movimientos!B55="",Movimientos!F55=""),"",Movimientos!F55)</f>
        <v/>
      </c>
      <c r="F55" s="1" t="str">
        <f t="array" ref="F55">IF(E55="","",INDEX('Configuración'!$D$15:$D$134,MATCH(E55,'Configuración'!$E$15:$E$134,0)))</f>
        <v/>
      </c>
      <c r="G55" s="1" t="str">
        <f>IF(OR(Movimientos!B55="",Movimientos!G55=""),"",Movimientos!G55)</f>
        <v/>
      </c>
      <c r="H55" s="1" t="str">
        <f>IF(OR(Movimientos!B55="",Movimientos!H55=""),"",Movimientos!H55)</f>
        <v/>
      </c>
      <c r="I55" s="54" t="str">
        <f>IF(OR(Movimientos!B55="",Movimientos!I55=""),"",Movimientos!I55)</f>
        <v/>
      </c>
      <c r="J55" s="54" t="str">
        <f>IF(OR(Movimientos!B55="",Movimientos!J55=""),"",Movimientos!J55)</f>
        <v/>
      </c>
      <c r="K55" s="54" t="str">
        <f t="shared" si="1"/>
        <v/>
      </c>
      <c r="L55" s="54" t="str">
        <f t="shared" si="2"/>
        <v/>
      </c>
      <c r="M55" s="54" t="str">
        <f t="shared" si="3"/>
        <v/>
      </c>
      <c r="N55" s="1" t="str">
        <f t="shared" si="4"/>
        <v/>
      </c>
      <c r="O55" s="1"/>
      <c r="P55" s="1"/>
      <c r="Q55" s="1"/>
      <c r="R55" s="1"/>
    </row>
    <row r="56" ht="24.75" customHeight="1">
      <c r="A56" s="1"/>
      <c r="B56" s="1" t="str">
        <f>IF(OR(Movimientos!B56="",Movimientos!B56=""),"",Movimientos!B56)</f>
        <v/>
      </c>
      <c r="C56" s="36" t="str">
        <f>IF(OR(Movimientos!B56="",Movimientos!C56=""),"",Movimientos!C56)</f>
        <v/>
      </c>
      <c r="D56" s="1" t="str">
        <f>IF(OR(Movimientos!B56="",Movimientos!D56=""),"",Movimientos!D56)</f>
        <v/>
      </c>
      <c r="E56" s="1" t="str">
        <f>IF(OR(Movimientos!B56="",Movimientos!F56=""),"",Movimientos!F56)</f>
        <v/>
      </c>
      <c r="F56" s="1" t="str">
        <f t="array" ref="F56">IF(E56="","",INDEX('Configuración'!$D$15:$D$134,MATCH(E56,'Configuración'!$E$15:$E$134,0)))</f>
        <v/>
      </c>
      <c r="G56" s="1" t="str">
        <f>IF(OR(Movimientos!B56="",Movimientos!G56=""),"",Movimientos!G56)</f>
        <v/>
      </c>
      <c r="H56" s="1" t="str">
        <f>IF(OR(Movimientos!B56="",Movimientos!H56=""),"",Movimientos!H56)</f>
        <v/>
      </c>
      <c r="I56" s="54" t="str">
        <f>IF(OR(Movimientos!B56="",Movimientos!I56=""),"",Movimientos!I56)</f>
        <v/>
      </c>
      <c r="J56" s="54" t="str">
        <f>IF(OR(Movimientos!B56="",Movimientos!J56=""),"",Movimientos!J56)</f>
        <v/>
      </c>
      <c r="K56" s="54" t="str">
        <f t="shared" si="1"/>
        <v/>
      </c>
      <c r="L56" s="54" t="str">
        <f t="shared" si="2"/>
        <v/>
      </c>
      <c r="M56" s="54" t="str">
        <f t="shared" si="3"/>
        <v/>
      </c>
      <c r="N56" s="1" t="str">
        <f t="shared" si="4"/>
        <v/>
      </c>
      <c r="O56" s="1"/>
      <c r="P56" s="1"/>
      <c r="Q56" s="1"/>
      <c r="R56" s="1"/>
    </row>
    <row r="57" ht="24.75" customHeight="1">
      <c r="A57" s="1"/>
      <c r="B57" s="1" t="str">
        <f>IF(OR(Movimientos!B57="",Movimientos!B57=""),"",Movimientos!B57)</f>
        <v/>
      </c>
      <c r="C57" s="36" t="str">
        <f>IF(OR(Movimientos!B57="",Movimientos!C57=""),"",Movimientos!C57)</f>
        <v/>
      </c>
      <c r="D57" s="1" t="str">
        <f>IF(OR(Movimientos!B57="",Movimientos!D57=""),"",Movimientos!D57)</f>
        <v/>
      </c>
      <c r="E57" s="1" t="str">
        <f>IF(OR(Movimientos!B57="",Movimientos!F57=""),"",Movimientos!F57)</f>
        <v/>
      </c>
      <c r="F57" s="1" t="str">
        <f t="array" ref="F57">IF(E57="","",INDEX('Configuración'!$D$15:$D$134,MATCH(E57,'Configuración'!$E$15:$E$134,0)))</f>
        <v/>
      </c>
      <c r="G57" s="1" t="str">
        <f>IF(OR(Movimientos!B57="",Movimientos!G57=""),"",Movimientos!G57)</f>
        <v/>
      </c>
      <c r="H57" s="1" t="str">
        <f>IF(OR(Movimientos!B57="",Movimientos!H57=""),"",Movimientos!H57)</f>
        <v/>
      </c>
      <c r="I57" s="54" t="str">
        <f>IF(OR(Movimientos!B57="",Movimientos!I57=""),"",Movimientos!I57)</f>
        <v/>
      </c>
      <c r="J57" s="54" t="str">
        <f>IF(OR(Movimientos!B57="",Movimientos!J57=""),"",Movimientos!J57)</f>
        <v/>
      </c>
      <c r="K57" s="54" t="str">
        <f t="shared" si="1"/>
        <v/>
      </c>
      <c r="L57" s="54" t="str">
        <f t="shared" si="2"/>
        <v/>
      </c>
      <c r="M57" s="54" t="str">
        <f t="shared" si="3"/>
        <v/>
      </c>
      <c r="N57" s="1" t="str">
        <f t="shared" si="4"/>
        <v/>
      </c>
      <c r="O57" s="1"/>
      <c r="P57" s="1"/>
      <c r="Q57" s="1"/>
      <c r="R57" s="1"/>
    </row>
    <row r="58" ht="24.75" customHeight="1">
      <c r="A58" s="1"/>
      <c r="B58" s="1" t="str">
        <f>IF(OR(Movimientos!B58="",Movimientos!B58=""),"",Movimientos!B58)</f>
        <v/>
      </c>
      <c r="C58" s="36" t="str">
        <f>IF(OR(Movimientos!B58="",Movimientos!C58=""),"",Movimientos!C58)</f>
        <v/>
      </c>
      <c r="D58" s="1" t="str">
        <f>IF(OR(Movimientos!B58="",Movimientos!D58=""),"",Movimientos!D58)</f>
        <v/>
      </c>
      <c r="E58" s="1" t="str">
        <f>IF(OR(Movimientos!B58="",Movimientos!F58=""),"",Movimientos!F58)</f>
        <v/>
      </c>
      <c r="F58" s="1" t="str">
        <f t="array" ref="F58">IF(E58="","",INDEX('Configuración'!$D$15:$D$134,MATCH(E58,'Configuración'!$E$15:$E$134,0)))</f>
        <v/>
      </c>
      <c r="G58" s="1" t="str">
        <f>IF(OR(Movimientos!B58="",Movimientos!G58=""),"",Movimientos!G58)</f>
        <v/>
      </c>
      <c r="H58" s="1" t="str">
        <f>IF(OR(Movimientos!B58="",Movimientos!H58=""),"",Movimientos!H58)</f>
        <v/>
      </c>
      <c r="I58" s="54" t="str">
        <f>IF(OR(Movimientos!B58="",Movimientos!I58=""),"",Movimientos!I58)</f>
        <v/>
      </c>
      <c r="J58" s="54" t="str">
        <f>IF(OR(Movimientos!B58="",Movimientos!J58=""),"",Movimientos!J58)</f>
        <v/>
      </c>
      <c r="K58" s="54" t="str">
        <f t="shared" si="1"/>
        <v/>
      </c>
      <c r="L58" s="54" t="str">
        <f t="shared" si="2"/>
        <v/>
      </c>
      <c r="M58" s="54" t="str">
        <f t="shared" si="3"/>
        <v/>
      </c>
      <c r="N58" s="1" t="str">
        <f t="shared" si="4"/>
        <v/>
      </c>
      <c r="O58" s="1"/>
      <c r="P58" s="1"/>
      <c r="Q58" s="1"/>
      <c r="R58" s="1"/>
    </row>
    <row r="59" ht="24.75" customHeight="1">
      <c r="A59" s="1"/>
      <c r="B59" s="1" t="str">
        <f>IF(OR(Movimientos!B59="",Movimientos!B59=""),"",Movimientos!B59)</f>
        <v/>
      </c>
      <c r="C59" s="36" t="str">
        <f>IF(OR(Movimientos!B59="",Movimientos!C59=""),"",Movimientos!C59)</f>
        <v/>
      </c>
      <c r="D59" s="1" t="str">
        <f>IF(OR(Movimientos!B59="",Movimientos!D59=""),"",Movimientos!D59)</f>
        <v/>
      </c>
      <c r="E59" s="1" t="str">
        <f>IF(OR(Movimientos!B59="",Movimientos!F59=""),"",Movimientos!F59)</f>
        <v/>
      </c>
      <c r="F59" s="1" t="str">
        <f t="array" ref="F59">IF(E59="","",INDEX('Configuración'!$D$15:$D$134,MATCH(E59,'Configuración'!$E$15:$E$134,0)))</f>
        <v/>
      </c>
      <c r="G59" s="1" t="str">
        <f>IF(OR(Movimientos!B59="",Movimientos!G59=""),"",Movimientos!G59)</f>
        <v/>
      </c>
      <c r="H59" s="1" t="str">
        <f>IF(OR(Movimientos!B59="",Movimientos!H59=""),"",Movimientos!H59)</f>
        <v/>
      </c>
      <c r="I59" s="54" t="str">
        <f>IF(OR(Movimientos!B59="",Movimientos!I59=""),"",Movimientos!I59)</f>
        <v/>
      </c>
      <c r="J59" s="54" t="str">
        <f>IF(OR(Movimientos!B59="",Movimientos!J59=""),"",Movimientos!J59)</f>
        <v/>
      </c>
      <c r="K59" s="54" t="str">
        <f t="shared" si="1"/>
        <v/>
      </c>
      <c r="L59" s="54" t="str">
        <f t="shared" si="2"/>
        <v/>
      </c>
      <c r="M59" s="54" t="str">
        <f t="shared" si="3"/>
        <v/>
      </c>
      <c r="N59" s="1" t="str">
        <f t="shared" si="4"/>
        <v/>
      </c>
      <c r="O59" s="1"/>
      <c r="P59" s="1"/>
      <c r="Q59" s="1"/>
      <c r="R59" s="1"/>
    </row>
    <row r="60" ht="24.75" customHeight="1">
      <c r="A60" s="1"/>
      <c r="B60" s="1" t="str">
        <f>IF(OR(Movimientos!B60="",Movimientos!B60=""),"",Movimientos!B60)</f>
        <v/>
      </c>
      <c r="C60" s="36" t="str">
        <f>IF(OR(Movimientos!B60="",Movimientos!C60=""),"",Movimientos!C60)</f>
        <v/>
      </c>
      <c r="D60" s="1" t="str">
        <f>IF(OR(Movimientos!B60="",Movimientos!D60=""),"",Movimientos!D60)</f>
        <v/>
      </c>
      <c r="E60" s="1" t="str">
        <f>IF(OR(Movimientos!B60="",Movimientos!F60=""),"",Movimientos!F60)</f>
        <v/>
      </c>
      <c r="F60" s="1" t="str">
        <f t="array" ref="F60">IF(E60="","",INDEX('Configuración'!$D$15:$D$134,MATCH(E60,'Configuración'!$E$15:$E$134,0)))</f>
        <v/>
      </c>
      <c r="G60" s="1" t="str">
        <f>IF(OR(Movimientos!B60="",Movimientos!G60=""),"",Movimientos!G60)</f>
        <v/>
      </c>
      <c r="H60" s="1" t="str">
        <f>IF(OR(Movimientos!B60="",Movimientos!H60=""),"",Movimientos!H60)</f>
        <v/>
      </c>
      <c r="I60" s="54" t="str">
        <f>IF(OR(Movimientos!B60="",Movimientos!I60=""),"",Movimientos!I60)</f>
        <v/>
      </c>
      <c r="J60" s="54" t="str">
        <f>IF(OR(Movimientos!B60="",Movimientos!J60=""),"",Movimientos!J60)</f>
        <v/>
      </c>
      <c r="K60" s="54" t="str">
        <f t="shared" si="1"/>
        <v/>
      </c>
      <c r="L60" s="54" t="str">
        <f t="shared" si="2"/>
        <v/>
      </c>
      <c r="M60" s="54" t="str">
        <f t="shared" si="3"/>
        <v/>
      </c>
      <c r="N60" s="1" t="str">
        <f t="shared" si="4"/>
        <v/>
      </c>
      <c r="O60" s="1"/>
      <c r="P60" s="1"/>
      <c r="Q60" s="1"/>
      <c r="R60" s="1"/>
    </row>
    <row r="61" ht="24.75" customHeight="1">
      <c r="A61" s="1"/>
      <c r="B61" s="1" t="str">
        <f>IF(OR(Movimientos!B61="",Movimientos!B61=""),"",Movimientos!B61)</f>
        <v/>
      </c>
      <c r="C61" s="36" t="str">
        <f>IF(OR(Movimientos!B61="",Movimientos!C61=""),"",Movimientos!C61)</f>
        <v/>
      </c>
      <c r="D61" s="1" t="str">
        <f>IF(OR(Movimientos!B61="",Movimientos!D61=""),"",Movimientos!D61)</f>
        <v/>
      </c>
      <c r="E61" s="1" t="str">
        <f>IF(OR(Movimientos!B61="",Movimientos!F61=""),"",Movimientos!F61)</f>
        <v/>
      </c>
      <c r="F61" s="1" t="str">
        <f t="array" ref="F61">IF(E61="","",INDEX('Configuración'!$D$15:$D$134,MATCH(E61,'Configuración'!$E$15:$E$134,0)))</f>
        <v/>
      </c>
      <c r="G61" s="1" t="str">
        <f>IF(OR(Movimientos!B61="",Movimientos!G61=""),"",Movimientos!G61)</f>
        <v/>
      </c>
      <c r="H61" s="1" t="str">
        <f>IF(OR(Movimientos!B61="",Movimientos!H61=""),"",Movimientos!H61)</f>
        <v/>
      </c>
      <c r="I61" s="54" t="str">
        <f>IF(OR(Movimientos!B61="",Movimientos!I61=""),"",Movimientos!I61)</f>
        <v/>
      </c>
      <c r="J61" s="54" t="str">
        <f>IF(OR(Movimientos!B61="",Movimientos!J61=""),"",Movimientos!J61)</f>
        <v/>
      </c>
      <c r="K61" s="54" t="str">
        <f t="shared" si="1"/>
        <v/>
      </c>
      <c r="L61" s="54" t="str">
        <f t="shared" si="2"/>
        <v/>
      </c>
      <c r="M61" s="54" t="str">
        <f t="shared" si="3"/>
        <v/>
      </c>
      <c r="N61" s="1" t="str">
        <f t="shared" si="4"/>
        <v/>
      </c>
      <c r="O61" s="1"/>
      <c r="P61" s="1"/>
      <c r="Q61" s="1"/>
      <c r="R61" s="1"/>
    </row>
    <row r="62" ht="24.75" customHeight="1">
      <c r="A62" s="1"/>
      <c r="B62" s="1" t="str">
        <f>IF(OR(Movimientos!B62="",Movimientos!B62=""),"",Movimientos!B62)</f>
        <v/>
      </c>
      <c r="C62" s="36" t="str">
        <f>IF(OR(Movimientos!B62="",Movimientos!C62=""),"",Movimientos!C62)</f>
        <v/>
      </c>
      <c r="D62" s="1" t="str">
        <f>IF(OR(Movimientos!B62="",Movimientos!D62=""),"",Movimientos!D62)</f>
        <v/>
      </c>
      <c r="E62" s="1" t="str">
        <f>IF(OR(Movimientos!B62="",Movimientos!F62=""),"",Movimientos!F62)</f>
        <v/>
      </c>
      <c r="F62" s="1" t="str">
        <f t="array" ref="F62">IF(E62="","",INDEX('Configuración'!$D$15:$D$134,MATCH(E62,'Configuración'!$E$15:$E$134,0)))</f>
        <v/>
      </c>
      <c r="G62" s="1" t="str">
        <f>IF(OR(Movimientos!B62="",Movimientos!G62=""),"",Movimientos!G62)</f>
        <v/>
      </c>
      <c r="H62" s="1" t="str">
        <f>IF(OR(Movimientos!B62="",Movimientos!H62=""),"",Movimientos!H62)</f>
        <v/>
      </c>
      <c r="I62" s="54" t="str">
        <f>IF(OR(Movimientos!B62="",Movimientos!I62=""),"",Movimientos!I62)</f>
        <v/>
      </c>
      <c r="J62" s="54" t="str">
        <f>IF(OR(Movimientos!B62="",Movimientos!J62=""),"",Movimientos!J62)</f>
        <v/>
      </c>
      <c r="K62" s="54" t="str">
        <f t="shared" si="1"/>
        <v/>
      </c>
      <c r="L62" s="54" t="str">
        <f t="shared" si="2"/>
        <v/>
      </c>
      <c r="M62" s="54" t="str">
        <f t="shared" si="3"/>
        <v/>
      </c>
      <c r="N62" s="1" t="str">
        <f t="shared" si="4"/>
        <v/>
      </c>
      <c r="O62" s="1"/>
      <c r="P62" s="1"/>
      <c r="Q62" s="1"/>
      <c r="R62" s="1"/>
    </row>
    <row r="63" ht="24.75" customHeight="1">
      <c r="A63" s="1"/>
      <c r="B63" s="1" t="str">
        <f>IF(OR(Movimientos!B63="",Movimientos!B63=""),"",Movimientos!B63)</f>
        <v/>
      </c>
      <c r="C63" s="36" t="str">
        <f>IF(OR(Movimientos!B63="",Movimientos!C63=""),"",Movimientos!C63)</f>
        <v/>
      </c>
      <c r="D63" s="1" t="str">
        <f>IF(OR(Movimientos!B63="",Movimientos!D63=""),"",Movimientos!D63)</f>
        <v/>
      </c>
      <c r="E63" s="1" t="str">
        <f>IF(OR(Movimientos!B63="",Movimientos!F63=""),"",Movimientos!F63)</f>
        <v/>
      </c>
      <c r="F63" s="1" t="str">
        <f t="array" ref="F63">IF(E63="","",INDEX('Configuración'!$D$15:$D$134,MATCH(E63,'Configuración'!$E$15:$E$134,0)))</f>
        <v/>
      </c>
      <c r="G63" s="1" t="str">
        <f>IF(OR(Movimientos!B63="",Movimientos!G63=""),"",Movimientos!G63)</f>
        <v/>
      </c>
      <c r="H63" s="1" t="str">
        <f>IF(OR(Movimientos!B63="",Movimientos!H63=""),"",Movimientos!H63)</f>
        <v/>
      </c>
      <c r="I63" s="54" t="str">
        <f>IF(OR(Movimientos!B63="",Movimientos!I63=""),"",Movimientos!I63)</f>
        <v/>
      </c>
      <c r="J63" s="54" t="str">
        <f>IF(OR(Movimientos!B63="",Movimientos!J63=""),"",Movimientos!J63)</f>
        <v/>
      </c>
      <c r="K63" s="54" t="str">
        <f t="shared" si="1"/>
        <v/>
      </c>
      <c r="L63" s="54" t="str">
        <f t="shared" si="2"/>
        <v/>
      </c>
      <c r="M63" s="54" t="str">
        <f t="shared" si="3"/>
        <v/>
      </c>
      <c r="N63" s="1" t="str">
        <f t="shared" si="4"/>
        <v/>
      </c>
      <c r="O63" s="1"/>
      <c r="P63" s="1"/>
      <c r="Q63" s="1"/>
      <c r="R63" s="1"/>
    </row>
    <row r="64" ht="24.75" customHeight="1">
      <c r="A64" s="1"/>
      <c r="B64" s="1" t="str">
        <f>IF(OR(Movimientos!B64="",Movimientos!B64=""),"",Movimientos!B64)</f>
        <v/>
      </c>
      <c r="C64" s="36" t="str">
        <f>IF(OR(Movimientos!B64="",Movimientos!C64=""),"",Movimientos!C64)</f>
        <v/>
      </c>
      <c r="D64" s="1" t="str">
        <f>IF(OR(Movimientos!B64="",Movimientos!D64=""),"",Movimientos!D64)</f>
        <v/>
      </c>
      <c r="E64" s="1" t="str">
        <f>IF(OR(Movimientos!B64="",Movimientos!F64=""),"",Movimientos!F64)</f>
        <v/>
      </c>
      <c r="F64" s="1" t="str">
        <f t="array" ref="F64">IF(E64="","",INDEX('Configuración'!$D$15:$D$134,MATCH(E64,'Configuración'!$E$15:$E$134,0)))</f>
        <v/>
      </c>
      <c r="G64" s="1" t="str">
        <f>IF(OR(Movimientos!B64="",Movimientos!G64=""),"",Movimientos!G64)</f>
        <v/>
      </c>
      <c r="H64" s="1" t="str">
        <f>IF(OR(Movimientos!B64="",Movimientos!H64=""),"",Movimientos!H64)</f>
        <v/>
      </c>
      <c r="I64" s="54" t="str">
        <f>IF(OR(Movimientos!B64="",Movimientos!I64=""),"",Movimientos!I64)</f>
        <v/>
      </c>
      <c r="J64" s="54" t="str">
        <f>IF(OR(Movimientos!B64="",Movimientos!J64=""),"",Movimientos!J64)</f>
        <v/>
      </c>
      <c r="K64" s="54" t="str">
        <f t="shared" si="1"/>
        <v/>
      </c>
      <c r="L64" s="54" t="str">
        <f t="shared" si="2"/>
        <v/>
      </c>
      <c r="M64" s="54" t="str">
        <f t="shared" si="3"/>
        <v/>
      </c>
      <c r="N64" s="1" t="str">
        <f t="shared" si="4"/>
        <v/>
      </c>
      <c r="O64" s="1"/>
      <c r="P64" s="1"/>
      <c r="Q64" s="1"/>
      <c r="R64" s="1"/>
    </row>
    <row r="65" ht="24.75" customHeight="1">
      <c r="A65" s="1"/>
      <c r="B65" s="1" t="str">
        <f>IF(OR(Movimientos!B65="",Movimientos!B65=""),"",Movimientos!B65)</f>
        <v/>
      </c>
      <c r="C65" s="36" t="str">
        <f>IF(OR(Movimientos!B65="",Movimientos!C65=""),"",Movimientos!C65)</f>
        <v/>
      </c>
      <c r="D65" s="1" t="str">
        <f>IF(OR(Movimientos!B65="",Movimientos!D65=""),"",Movimientos!D65)</f>
        <v/>
      </c>
      <c r="E65" s="1" t="str">
        <f>IF(OR(Movimientos!B65="",Movimientos!F65=""),"",Movimientos!F65)</f>
        <v/>
      </c>
      <c r="F65" s="1" t="str">
        <f t="array" ref="F65">IF(E65="","",INDEX('Configuración'!$D$15:$D$134,MATCH(E65,'Configuración'!$E$15:$E$134,0)))</f>
        <v/>
      </c>
      <c r="G65" s="1" t="str">
        <f>IF(OR(Movimientos!B65="",Movimientos!G65=""),"",Movimientos!G65)</f>
        <v/>
      </c>
      <c r="H65" s="1" t="str">
        <f>IF(OR(Movimientos!B65="",Movimientos!H65=""),"",Movimientos!H65)</f>
        <v/>
      </c>
      <c r="I65" s="54" t="str">
        <f>IF(OR(Movimientos!B65="",Movimientos!I65=""),"",Movimientos!I65)</f>
        <v/>
      </c>
      <c r="J65" s="54" t="str">
        <f>IF(OR(Movimientos!B65="",Movimientos!J65=""),"",Movimientos!J65)</f>
        <v/>
      </c>
      <c r="K65" s="54" t="str">
        <f t="shared" si="1"/>
        <v/>
      </c>
      <c r="L65" s="54" t="str">
        <f t="shared" si="2"/>
        <v/>
      </c>
      <c r="M65" s="54" t="str">
        <f t="shared" si="3"/>
        <v/>
      </c>
      <c r="N65" s="1" t="str">
        <f t="shared" si="4"/>
        <v/>
      </c>
      <c r="O65" s="1"/>
      <c r="P65" s="1"/>
      <c r="Q65" s="1"/>
      <c r="R65" s="1"/>
    </row>
    <row r="66" ht="24.75" customHeight="1">
      <c r="A66" s="1"/>
      <c r="B66" s="1" t="str">
        <f>IF(OR(Movimientos!B66="",Movimientos!B66=""),"",Movimientos!B66)</f>
        <v/>
      </c>
      <c r="C66" s="36" t="str">
        <f>IF(OR(Movimientos!B66="",Movimientos!C66=""),"",Movimientos!C66)</f>
        <v/>
      </c>
      <c r="D66" s="1" t="str">
        <f>IF(OR(Movimientos!B66="",Movimientos!D66=""),"",Movimientos!D66)</f>
        <v/>
      </c>
      <c r="E66" s="1" t="str">
        <f>IF(OR(Movimientos!B66="",Movimientos!F66=""),"",Movimientos!F66)</f>
        <v/>
      </c>
      <c r="F66" s="1" t="str">
        <f t="array" ref="F66">IF(E66="","",INDEX('Configuración'!$D$15:$D$134,MATCH(E66,'Configuración'!$E$15:$E$134,0)))</f>
        <v/>
      </c>
      <c r="G66" s="1" t="str">
        <f>IF(OR(Movimientos!B66="",Movimientos!G66=""),"",Movimientos!G66)</f>
        <v/>
      </c>
      <c r="H66" s="1" t="str">
        <f>IF(OR(Movimientos!B66="",Movimientos!H66=""),"",Movimientos!H66)</f>
        <v/>
      </c>
      <c r="I66" s="54" t="str">
        <f>IF(OR(Movimientos!B66="",Movimientos!I66=""),"",Movimientos!I66)</f>
        <v/>
      </c>
      <c r="J66" s="54" t="str">
        <f>IF(OR(Movimientos!B66="",Movimientos!J66=""),"",Movimientos!J66)</f>
        <v/>
      </c>
      <c r="K66" s="54" t="str">
        <f t="shared" si="1"/>
        <v/>
      </c>
      <c r="L66" s="54" t="str">
        <f t="shared" si="2"/>
        <v/>
      </c>
      <c r="M66" s="54" t="str">
        <f t="shared" si="3"/>
        <v/>
      </c>
      <c r="N66" s="1" t="str">
        <f t="shared" si="4"/>
        <v/>
      </c>
      <c r="O66" s="1"/>
      <c r="P66" s="1"/>
      <c r="Q66" s="1"/>
      <c r="R66" s="1"/>
    </row>
    <row r="67" ht="24.75" customHeight="1">
      <c r="A67" s="1"/>
      <c r="B67" s="1" t="str">
        <f>IF(OR(Movimientos!B67="",Movimientos!B67=""),"",Movimientos!B67)</f>
        <v/>
      </c>
      <c r="C67" s="36" t="str">
        <f>IF(OR(Movimientos!B67="",Movimientos!C67=""),"",Movimientos!C67)</f>
        <v/>
      </c>
      <c r="D67" s="1" t="str">
        <f>IF(OR(Movimientos!B67="",Movimientos!D67=""),"",Movimientos!D67)</f>
        <v/>
      </c>
      <c r="E67" s="1" t="str">
        <f>IF(OR(Movimientos!B67="",Movimientos!F67=""),"",Movimientos!F67)</f>
        <v/>
      </c>
      <c r="F67" s="1" t="str">
        <f t="array" ref="F67">IF(E67="","",INDEX('Configuración'!$D$15:$D$134,MATCH(E67,'Configuración'!$E$15:$E$134,0)))</f>
        <v/>
      </c>
      <c r="G67" s="1" t="str">
        <f>IF(OR(Movimientos!B67="",Movimientos!G67=""),"",Movimientos!G67)</f>
        <v/>
      </c>
      <c r="H67" s="1" t="str">
        <f>IF(OR(Movimientos!B67="",Movimientos!H67=""),"",Movimientos!H67)</f>
        <v/>
      </c>
      <c r="I67" s="54" t="str">
        <f>IF(OR(Movimientos!B67="",Movimientos!I67=""),"",Movimientos!I67)</f>
        <v/>
      </c>
      <c r="J67" s="54" t="str">
        <f>IF(OR(Movimientos!B67="",Movimientos!J67=""),"",Movimientos!J67)</f>
        <v/>
      </c>
      <c r="K67" s="54" t="str">
        <f t="shared" si="1"/>
        <v/>
      </c>
      <c r="L67" s="54" t="str">
        <f t="shared" si="2"/>
        <v/>
      </c>
      <c r="M67" s="54" t="str">
        <f t="shared" si="3"/>
        <v/>
      </c>
      <c r="N67" s="1" t="str">
        <f t="shared" si="4"/>
        <v/>
      </c>
      <c r="O67" s="1"/>
      <c r="P67" s="1"/>
      <c r="Q67" s="1"/>
      <c r="R67" s="1"/>
    </row>
    <row r="68" ht="24.75" customHeight="1">
      <c r="A68" s="1"/>
      <c r="B68" s="1" t="str">
        <f>IF(OR(Movimientos!B68="",Movimientos!B68=""),"",Movimientos!B68)</f>
        <v/>
      </c>
      <c r="C68" s="36" t="str">
        <f>IF(OR(Movimientos!B68="",Movimientos!C68=""),"",Movimientos!C68)</f>
        <v/>
      </c>
      <c r="D68" s="1" t="str">
        <f>IF(OR(Movimientos!B68="",Movimientos!D68=""),"",Movimientos!D68)</f>
        <v/>
      </c>
      <c r="E68" s="1" t="str">
        <f>IF(OR(Movimientos!B68="",Movimientos!F68=""),"",Movimientos!F68)</f>
        <v/>
      </c>
      <c r="F68" s="1" t="str">
        <f t="array" ref="F68">IF(E68="","",INDEX('Configuración'!$D$15:$D$134,MATCH(E68,'Configuración'!$E$15:$E$134,0)))</f>
        <v/>
      </c>
      <c r="G68" s="1" t="str">
        <f>IF(OR(Movimientos!B68="",Movimientos!G68=""),"",Movimientos!G68)</f>
        <v/>
      </c>
      <c r="H68" s="1" t="str">
        <f>IF(OR(Movimientos!B68="",Movimientos!H68=""),"",Movimientos!H68)</f>
        <v/>
      </c>
      <c r="I68" s="54" t="str">
        <f>IF(OR(Movimientos!B68="",Movimientos!I68=""),"",Movimientos!I68)</f>
        <v/>
      </c>
      <c r="J68" s="54" t="str">
        <f>IF(OR(Movimientos!B68="",Movimientos!J68=""),"",Movimientos!J68)</f>
        <v/>
      </c>
      <c r="K68" s="54" t="str">
        <f t="shared" si="1"/>
        <v/>
      </c>
      <c r="L68" s="54" t="str">
        <f t="shared" si="2"/>
        <v/>
      </c>
      <c r="M68" s="54" t="str">
        <f t="shared" si="3"/>
        <v/>
      </c>
      <c r="N68" s="1" t="str">
        <f t="shared" si="4"/>
        <v/>
      </c>
      <c r="O68" s="1"/>
      <c r="P68" s="1"/>
      <c r="Q68" s="1"/>
      <c r="R68" s="1"/>
    </row>
    <row r="69" ht="24.75" customHeight="1">
      <c r="A69" s="1"/>
      <c r="B69" s="1" t="str">
        <f>IF(OR(Movimientos!B69="",Movimientos!B69=""),"",Movimientos!B69)</f>
        <v/>
      </c>
      <c r="C69" s="36" t="str">
        <f>IF(OR(Movimientos!B69="",Movimientos!C69=""),"",Movimientos!C69)</f>
        <v/>
      </c>
      <c r="D69" s="1" t="str">
        <f>IF(OR(Movimientos!B69="",Movimientos!D69=""),"",Movimientos!D69)</f>
        <v/>
      </c>
      <c r="E69" s="1" t="str">
        <f>IF(OR(Movimientos!B69="",Movimientos!F69=""),"",Movimientos!F69)</f>
        <v/>
      </c>
      <c r="F69" s="1" t="str">
        <f t="array" ref="F69">IF(E69="","",INDEX('Configuración'!$D$15:$D$134,MATCH(E69,'Configuración'!$E$15:$E$134,0)))</f>
        <v/>
      </c>
      <c r="G69" s="1" t="str">
        <f>IF(OR(Movimientos!B69="",Movimientos!G69=""),"",Movimientos!G69)</f>
        <v/>
      </c>
      <c r="H69" s="1" t="str">
        <f>IF(OR(Movimientos!B69="",Movimientos!H69=""),"",Movimientos!H69)</f>
        <v/>
      </c>
      <c r="I69" s="54" t="str">
        <f>IF(OR(Movimientos!B69="",Movimientos!I69=""),"",Movimientos!I69)</f>
        <v/>
      </c>
      <c r="J69" s="54" t="str">
        <f>IF(OR(Movimientos!B69="",Movimientos!J69=""),"",Movimientos!J69)</f>
        <v/>
      </c>
      <c r="K69" s="54" t="str">
        <f t="shared" si="1"/>
        <v/>
      </c>
      <c r="L69" s="54" t="str">
        <f t="shared" si="2"/>
        <v/>
      </c>
      <c r="M69" s="54" t="str">
        <f t="shared" si="3"/>
        <v/>
      </c>
      <c r="N69" s="1" t="str">
        <f t="shared" si="4"/>
        <v/>
      </c>
      <c r="O69" s="1"/>
      <c r="P69" s="1"/>
      <c r="Q69" s="1"/>
      <c r="R69" s="1"/>
    </row>
    <row r="70" ht="24.75" customHeight="1">
      <c r="A70" s="1"/>
      <c r="B70" s="1" t="str">
        <f>IF(OR(Movimientos!B70="",Movimientos!B70=""),"",Movimientos!B70)</f>
        <v/>
      </c>
      <c r="C70" s="36" t="str">
        <f>IF(OR(Movimientos!B70="",Movimientos!C70=""),"",Movimientos!C70)</f>
        <v/>
      </c>
      <c r="D70" s="1" t="str">
        <f>IF(OR(Movimientos!B70="",Movimientos!D70=""),"",Movimientos!D70)</f>
        <v/>
      </c>
      <c r="E70" s="1" t="str">
        <f>IF(OR(Movimientos!B70="",Movimientos!F70=""),"",Movimientos!F70)</f>
        <v/>
      </c>
      <c r="F70" s="1" t="str">
        <f t="array" ref="F70">IF(E70="","",INDEX('Configuración'!$D$15:$D$134,MATCH(E70,'Configuración'!$E$15:$E$134,0)))</f>
        <v/>
      </c>
      <c r="G70" s="1" t="str">
        <f>IF(OR(Movimientos!B70="",Movimientos!G70=""),"",Movimientos!G70)</f>
        <v/>
      </c>
      <c r="H70" s="1" t="str">
        <f>IF(OR(Movimientos!B70="",Movimientos!H70=""),"",Movimientos!H70)</f>
        <v/>
      </c>
      <c r="I70" s="54" t="str">
        <f>IF(OR(Movimientos!B70="",Movimientos!I70=""),"",Movimientos!I70)</f>
        <v/>
      </c>
      <c r="J70" s="54" t="str">
        <f>IF(OR(Movimientos!B70="",Movimientos!J70=""),"",Movimientos!J70)</f>
        <v/>
      </c>
      <c r="K70" s="54" t="str">
        <f t="shared" si="1"/>
        <v/>
      </c>
      <c r="L70" s="54" t="str">
        <f t="shared" si="2"/>
        <v/>
      </c>
      <c r="M70" s="54" t="str">
        <f t="shared" si="3"/>
        <v/>
      </c>
      <c r="N70" s="1" t="str">
        <f t="shared" si="4"/>
        <v/>
      </c>
      <c r="O70" s="1"/>
      <c r="P70" s="1"/>
      <c r="Q70" s="1"/>
      <c r="R70" s="1"/>
    </row>
    <row r="71" ht="24.75" customHeight="1">
      <c r="A71" s="1"/>
      <c r="B71" s="1" t="str">
        <f>IF(OR(Movimientos!B71="",Movimientos!B71=""),"",Movimientos!B71)</f>
        <v/>
      </c>
      <c r="C71" s="36" t="str">
        <f>IF(OR(Movimientos!B71="",Movimientos!C71=""),"",Movimientos!C71)</f>
        <v/>
      </c>
      <c r="D71" s="1" t="str">
        <f>IF(OR(Movimientos!B71="",Movimientos!D71=""),"",Movimientos!D71)</f>
        <v/>
      </c>
      <c r="E71" s="1" t="str">
        <f>IF(OR(Movimientos!B71="",Movimientos!F71=""),"",Movimientos!F71)</f>
        <v/>
      </c>
      <c r="F71" s="1" t="str">
        <f t="array" ref="F71">IF(E71="","",INDEX('Configuración'!$D$15:$D$134,MATCH(E71,'Configuración'!$E$15:$E$134,0)))</f>
        <v/>
      </c>
      <c r="G71" s="1" t="str">
        <f>IF(OR(Movimientos!B71="",Movimientos!G71=""),"",Movimientos!G71)</f>
        <v/>
      </c>
      <c r="H71" s="1" t="str">
        <f>IF(OR(Movimientos!B71="",Movimientos!H71=""),"",Movimientos!H71)</f>
        <v/>
      </c>
      <c r="I71" s="54" t="str">
        <f>IF(OR(Movimientos!B71="",Movimientos!I71=""),"",Movimientos!I71)</f>
        <v/>
      </c>
      <c r="J71" s="54" t="str">
        <f>IF(OR(Movimientos!B71="",Movimientos!J71=""),"",Movimientos!J71)</f>
        <v/>
      </c>
      <c r="K71" s="54" t="str">
        <f t="shared" si="1"/>
        <v/>
      </c>
      <c r="L71" s="54" t="str">
        <f t="shared" si="2"/>
        <v/>
      </c>
      <c r="M71" s="54" t="str">
        <f t="shared" si="3"/>
        <v/>
      </c>
      <c r="N71" s="1" t="str">
        <f t="shared" si="4"/>
        <v/>
      </c>
      <c r="O71" s="1"/>
      <c r="P71" s="1"/>
      <c r="Q71" s="1"/>
      <c r="R71" s="1"/>
    </row>
    <row r="72" ht="24.75" customHeight="1">
      <c r="A72" s="1"/>
      <c r="B72" s="1" t="str">
        <f>IF(OR(Movimientos!B72="",Movimientos!B72=""),"",Movimientos!B72)</f>
        <v/>
      </c>
      <c r="C72" s="36" t="str">
        <f>IF(OR(Movimientos!B72="",Movimientos!C72=""),"",Movimientos!C72)</f>
        <v/>
      </c>
      <c r="D72" s="1" t="str">
        <f>IF(OR(Movimientos!B72="",Movimientos!D72=""),"",Movimientos!D72)</f>
        <v/>
      </c>
      <c r="E72" s="1" t="str">
        <f>IF(OR(Movimientos!B72="",Movimientos!F72=""),"",Movimientos!F72)</f>
        <v/>
      </c>
      <c r="F72" s="1" t="str">
        <f t="array" ref="F72">IF(E72="","",INDEX('Configuración'!$D$15:$D$134,MATCH(E72,'Configuración'!$E$15:$E$134,0)))</f>
        <v/>
      </c>
      <c r="G72" s="1" t="str">
        <f>IF(OR(Movimientos!B72="",Movimientos!G72=""),"",Movimientos!G72)</f>
        <v/>
      </c>
      <c r="H72" s="1" t="str">
        <f>IF(OR(Movimientos!B72="",Movimientos!H72=""),"",Movimientos!H72)</f>
        <v/>
      </c>
      <c r="I72" s="54" t="str">
        <f>IF(OR(Movimientos!B72="",Movimientos!I72=""),"",Movimientos!I72)</f>
        <v/>
      </c>
      <c r="J72" s="54" t="str">
        <f>IF(OR(Movimientos!B72="",Movimientos!J72=""),"",Movimientos!J72)</f>
        <v/>
      </c>
      <c r="K72" s="54" t="str">
        <f t="shared" si="1"/>
        <v/>
      </c>
      <c r="L72" s="54" t="str">
        <f t="shared" si="2"/>
        <v/>
      </c>
      <c r="M72" s="54" t="str">
        <f t="shared" si="3"/>
        <v/>
      </c>
      <c r="N72" s="1" t="str">
        <f t="shared" si="4"/>
        <v/>
      </c>
      <c r="O72" s="1"/>
      <c r="P72" s="1"/>
      <c r="Q72" s="1"/>
      <c r="R72" s="1"/>
    </row>
    <row r="73" ht="24.75" customHeight="1">
      <c r="A73" s="1"/>
      <c r="B73" s="1" t="str">
        <f>IF(OR(Movimientos!B73="",Movimientos!B73=""),"",Movimientos!B73)</f>
        <v/>
      </c>
      <c r="C73" s="36" t="str">
        <f>IF(OR(Movimientos!B73="",Movimientos!C73=""),"",Movimientos!C73)</f>
        <v/>
      </c>
      <c r="D73" s="1" t="str">
        <f>IF(OR(Movimientos!B73="",Movimientos!D73=""),"",Movimientos!D73)</f>
        <v/>
      </c>
      <c r="E73" s="1" t="str">
        <f>IF(OR(Movimientos!B73="",Movimientos!F73=""),"",Movimientos!F73)</f>
        <v/>
      </c>
      <c r="F73" s="1" t="str">
        <f t="array" ref="F73">IF(E73="","",INDEX('Configuración'!$D$15:$D$134,MATCH(E73,'Configuración'!$E$15:$E$134,0)))</f>
        <v/>
      </c>
      <c r="G73" s="1" t="str">
        <f>IF(OR(Movimientos!B73="",Movimientos!G73=""),"",Movimientos!G73)</f>
        <v/>
      </c>
      <c r="H73" s="1" t="str">
        <f>IF(OR(Movimientos!B73="",Movimientos!H73=""),"",Movimientos!H73)</f>
        <v/>
      </c>
      <c r="I73" s="54" t="str">
        <f>IF(OR(Movimientos!B73="",Movimientos!I73=""),"",Movimientos!I73)</f>
        <v/>
      </c>
      <c r="J73" s="54" t="str">
        <f>IF(OR(Movimientos!B73="",Movimientos!J73=""),"",Movimientos!J73)</f>
        <v/>
      </c>
      <c r="K73" s="54" t="str">
        <f t="shared" si="1"/>
        <v/>
      </c>
      <c r="L73" s="54" t="str">
        <f t="shared" si="2"/>
        <v/>
      </c>
      <c r="M73" s="54" t="str">
        <f t="shared" si="3"/>
        <v/>
      </c>
      <c r="N73" s="1" t="str">
        <f t="shared" si="4"/>
        <v/>
      </c>
      <c r="O73" s="1"/>
      <c r="P73" s="1"/>
      <c r="Q73" s="1"/>
      <c r="R73" s="1"/>
    </row>
    <row r="74" ht="24.75" customHeight="1">
      <c r="A74" s="1"/>
      <c r="B74" s="1" t="str">
        <f>IF(OR(Movimientos!B74="",Movimientos!B74=""),"",Movimientos!B74)</f>
        <v/>
      </c>
      <c r="C74" s="36" t="str">
        <f>IF(OR(Movimientos!B74="",Movimientos!C74=""),"",Movimientos!C74)</f>
        <v/>
      </c>
      <c r="D74" s="1" t="str">
        <f>IF(OR(Movimientos!B74="",Movimientos!D74=""),"",Movimientos!D74)</f>
        <v/>
      </c>
      <c r="E74" s="1" t="str">
        <f>IF(OR(Movimientos!B74="",Movimientos!F74=""),"",Movimientos!F74)</f>
        <v/>
      </c>
      <c r="F74" s="1" t="str">
        <f t="array" ref="F74">IF(E74="","",INDEX('Configuración'!$D$15:$D$134,MATCH(E74,'Configuración'!$E$15:$E$134,0)))</f>
        <v/>
      </c>
      <c r="G74" s="1" t="str">
        <f>IF(OR(Movimientos!B74="",Movimientos!G74=""),"",Movimientos!G74)</f>
        <v/>
      </c>
      <c r="H74" s="1" t="str">
        <f>IF(OR(Movimientos!B74="",Movimientos!H74=""),"",Movimientos!H74)</f>
        <v/>
      </c>
      <c r="I74" s="54" t="str">
        <f>IF(OR(Movimientos!B74="",Movimientos!I74=""),"",Movimientos!I74)</f>
        <v/>
      </c>
      <c r="J74" s="54" t="str">
        <f>IF(OR(Movimientos!B74="",Movimientos!J74=""),"",Movimientos!J74)</f>
        <v/>
      </c>
      <c r="K74" s="54" t="str">
        <f t="shared" si="1"/>
        <v/>
      </c>
      <c r="L74" s="54" t="str">
        <f t="shared" si="2"/>
        <v/>
      </c>
      <c r="M74" s="54" t="str">
        <f t="shared" si="3"/>
        <v/>
      </c>
      <c r="N74" s="1" t="str">
        <f t="shared" si="4"/>
        <v/>
      </c>
      <c r="O74" s="1"/>
      <c r="P74" s="1"/>
      <c r="Q74" s="1"/>
      <c r="R74" s="1"/>
    </row>
    <row r="75" ht="24.75" customHeight="1">
      <c r="A75" s="1"/>
      <c r="B75" s="1" t="str">
        <f>IF(OR(Movimientos!B75="",Movimientos!B75=""),"",Movimientos!B75)</f>
        <v/>
      </c>
      <c r="C75" s="36" t="str">
        <f>IF(OR(Movimientos!B75="",Movimientos!C75=""),"",Movimientos!C75)</f>
        <v/>
      </c>
      <c r="D75" s="1" t="str">
        <f>IF(OR(Movimientos!B75="",Movimientos!D75=""),"",Movimientos!D75)</f>
        <v/>
      </c>
      <c r="E75" s="1" t="str">
        <f>IF(OR(Movimientos!B75="",Movimientos!F75=""),"",Movimientos!F75)</f>
        <v/>
      </c>
      <c r="F75" s="1" t="str">
        <f t="array" ref="F75">IF(E75="","",INDEX('Configuración'!$D$15:$D$134,MATCH(E75,'Configuración'!$E$15:$E$134,0)))</f>
        <v/>
      </c>
      <c r="G75" s="1" t="str">
        <f>IF(OR(Movimientos!B75="",Movimientos!G75=""),"",Movimientos!G75)</f>
        <v/>
      </c>
      <c r="H75" s="1" t="str">
        <f>IF(OR(Movimientos!B75="",Movimientos!H75=""),"",Movimientos!H75)</f>
        <v/>
      </c>
      <c r="I75" s="54" t="str">
        <f>IF(OR(Movimientos!B75="",Movimientos!I75=""),"",Movimientos!I75)</f>
        <v/>
      </c>
      <c r="J75" s="54" t="str">
        <f>IF(OR(Movimientos!B75="",Movimientos!J75=""),"",Movimientos!J75)</f>
        <v/>
      </c>
      <c r="K75" s="54" t="str">
        <f t="shared" si="1"/>
        <v/>
      </c>
      <c r="L75" s="54" t="str">
        <f t="shared" si="2"/>
        <v/>
      </c>
      <c r="M75" s="54" t="str">
        <f t="shared" si="3"/>
        <v/>
      </c>
      <c r="N75" s="1" t="str">
        <f t="shared" si="4"/>
        <v/>
      </c>
      <c r="O75" s="1"/>
      <c r="P75" s="1"/>
      <c r="Q75" s="1"/>
      <c r="R75" s="1"/>
    </row>
    <row r="76" ht="24.75" customHeight="1">
      <c r="A76" s="1"/>
      <c r="B76" s="1" t="str">
        <f>IF(OR(Movimientos!B76="",Movimientos!B76=""),"",Movimientos!B76)</f>
        <v/>
      </c>
      <c r="C76" s="36" t="str">
        <f>IF(OR(Movimientos!B76="",Movimientos!C76=""),"",Movimientos!C76)</f>
        <v/>
      </c>
      <c r="D76" s="1" t="str">
        <f>IF(OR(Movimientos!B76="",Movimientos!D76=""),"",Movimientos!D76)</f>
        <v/>
      </c>
      <c r="E76" s="1" t="str">
        <f>IF(OR(Movimientos!B76="",Movimientos!F76=""),"",Movimientos!F76)</f>
        <v/>
      </c>
      <c r="F76" s="1" t="str">
        <f t="array" ref="F76">IF(E76="","",INDEX('Configuración'!$D$15:$D$134,MATCH(E76,'Configuración'!$E$15:$E$134,0)))</f>
        <v/>
      </c>
      <c r="G76" s="1" t="str">
        <f>IF(OR(Movimientos!B76="",Movimientos!G76=""),"",Movimientos!G76)</f>
        <v/>
      </c>
      <c r="H76" s="1" t="str">
        <f>IF(OR(Movimientos!B76="",Movimientos!H76=""),"",Movimientos!H76)</f>
        <v/>
      </c>
      <c r="I76" s="54" t="str">
        <f>IF(OR(Movimientos!B76="",Movimientos!I76=""),"",Movimientos!I76)</f>
        <v/>
      </c>
      <c r="J76" s="54" t="str">
        <f>IF(OR(Movimientos!B76="",Movimientos!J76=""),"",Movimientos!J76)</f>
        <v/>
      </c>
      <c r="K76" s="54" t="str">
        <f t="shared" si="1"/>
        <v/>
      </c>
      <c r="L76" s="54" t="str">
        <f t="shared" si="2"/>
        <v/>
      </c>
      <c r="M76" s="54" t="str">
        <f t="shared" si="3"/>
        <v/>
      </c>
      <c r="N76" s="1" t="str">
        <f t="shared" si="4"/>
        <v/>
      </c>
      <c r="O76" s="1"/>
      <c r="P76" s="1"/>
      <c r="Q76" s="1"/>
      <c r="R76" s="1"/>
    </row>
    <row r="77" ht="24.75" customHeight="1">
      <c r="A77" s="1"/>
      <c r="B77" s="1" t="str">
        <f>IF(OR(Movimientos!B77="",Movimientos!B77=""),"",Movimientos!B77)</f>
        <v/>
      </c>
      <c r="C77" s="36" t="str">
        <f>IF(OR(Movimientos!B77="",Movimientos!C77=""),"",Movimientos!C77)</f>
        <v/>
      </c>
      <c r="D77" s="1" t="str">
        <f>IF(OR(Movimientos!B77="",Movimientos!D77=""),"",Movimientos!D77)</f>
        <v/>
      </c>
      <c r="E77" s="1" t="str">
        <f>IF(OR(Movimientos!B77="",Movimientos!F77=""),"",Movimientos!F77)</f>
        <v/>
      </c>
      <c r="F77" s="1" t="str">
        <f t="array" ref="F77">IF(E77="","",INDEX('Configuración'!$D$15:$D$134,MATCH(E77,'Configuración'!$E$15:$E$134,0)))</f>
        <v/>
      </c>
      <c r="G77" s="1" t="str">
        <f>IF(OR(Movimientos!B77="",Movimientos!G77=""),"",Movimientos!G77)</f>
        <v/>
      </c>
      <c r="H77" s="1" t="str">
        <f>IF(OR(Movimientos!B77="",Movimientos!H77=""),"",Movimientos!H77)</f>
        <v/>
      </c>
      <c r="I77" s="54" t="str">
        <f>IF(OR(Movimientos!B77="",Movimientos!I77=""),"",Movimientos!I77)</f>
        <v/>
      </c>
      <c r="J77" s="54" t="str">
        <f>IF(OR(Movimientos!B77="",Movimientos!J77=""),"",Movimientos!J77)</f>
        <v/>
      </c>
      <c r="K77" s="54" t="str">
        <f t="shared" si="1"/>
        <v/>
      </c>
      <c r="L77" s="54" t="str">
        <f t="shared" si="2"/>
        <v/>
      </c>
      <c r="M77" s="54" t="str">
        <f t="shared" si="3"/>
        <v/>
      </c>
      <c r="N77" s="1" t="str">
        <f t="shared" si="4"/>
        <v/>
      </c>
      <c r="O77" s="1"/>
      <c r="P77" s="1"/>
      <c r="Q77" s="1"/>
      <c r="R77" s="1"/>
    </row>
    <row r="78" ht="24.75" customHeight="1">
      <c r="A78" s="1"/>
      <c r="B78" s="1" t="str">
        <f>IF(OR(Movimientos!B78="",Movimientos!B78=""),"",Movimientos!B78)</f>
        <v/>
      </c>
      <c r="C78" s="36" t="str">
        <f>IF(OR(Movimientos!B78="",Movimientos!C78=""),"",Movimientos!C78)</f>
        <v/>
      </c>
      <c r="D78" s="1" t="str">
        <f>IF(OR(Movimientos!B78="",Movimientos!D78=""),"",Movimientos!D78)</f>
        <v/>
      </c>
      <c r="E78" s="1" t="str">
        <f>IF(OR(Movimientos!B78="",Movimientos!F78=""),"",Movimientos!F78)</f>
        <v/>
      </c>
      <c r="F78" s="1" t="str">
        <f t="array" ref="F78">IF(E78="","",INDEX('Configuración'!$D$15:$D$134,MATCH(E78,'Configuración'!$E$15:$E$134,0)))</f>
        <v/>
      </c>
      <c r="G78" s="1" t="str">
        <f>IF(OR(Movimientos!B78="",Movimientos!G78=""),"",Movimientos!G78)</f>
        <v/>
      </c>
      <c r="H78" s="1" t="str">
        <f>IF(OR(Movimientos!B78="",Movimientos!H78=""),"",Movimientos!H78)</f>
        <v/>
      </c>
      <c r="I78" s="54" t="str">
        <f>IF(OR(Movimientos!B78="",Movimientos!I78=""),"",Movimientos!I78)</f>
        <v/>
      </c>
      <c r="J78" s="54" t="str">
        <f>IF(OR(Movimientos!B78="",Movimientos!J78=""),"",Movimientos!J78)</f>
        <v/>
      </c>
      <c r="K78" s="54" t="str">
        <f t="shared" si="1"/>
        <v/>
      </c>
      <c r="L78" s="54" t="str">
        <f t="shared" si="2"/>
        <v/>
      </c>
      <c r="M78" s="54" t="str">
        <f t="shared" si="3"/>
        <v/>
      </c>
      <c r="N78" s="1" t="str">
        <f t="shared" si="4"/>
        <v/>
      </c>
      <c r="O78" s="1"/>
      <c r="P78" s="1"/>
      <c r="Q78" s="1"/>
      <c r="R78" s="1"/>
    </row>
    <row r="79" ht="24.75" customHeight="1">
      <c r="A79" s="1"/>
      <c r="B79" s="1" t="str">
        <f>IF(OR(Movimientos!B79="",Movimientos!B79=""),"",Movimientos!B79)</f>
        <v/>
      </c>
      <c r="C79" s="36" t="str">
        <f>IF(OR(Movimientos!B79="",Movimientos!C79=""),"",Movimientos!C79)</f>
        <v/>
      </c>
      <c r="D79" s="1" t="str">
        <f>IF(OR(Movimientos!B79="",Movimientos!D79=""),"",Movimientos!D79)</f>
        <v/>
      </c>
      <c r="E79" s="1" t="str">
        <f>IF(OR(Movimientos!B79="",Movimientos!F79=""),"",Movimientos!F79)</f>
        <v/>
      </c>
      <c r="F79" s="1" t="str">
        <f t="array" ref="F79">IF(E79="","",INDEX('Configuración'!$D$15:$D$134,MATCH(E79,'Configuración'!$E$15:$E$134,0)))</f>
        <v/>
      </c>
      <c r="G79" s="1" t="str">
        <f>IF(OR(Movimientos!B79="",Movimientos!G79=""),"",Movimientos!G79)</f>
        <v/>
      </c>
      <c r="H79" s="1" t="str">
        <f>IF(OR(Movimientos!B79="",Movimientos!H79=""),"",Movimientos!H79)</f>
        <v/>
      </c>
      <c r="I79" s="54" t="str">
        <f>IF(OR(Movimientos!B79="",Movimientos!I79=""),"",Movimientos!I79)</f>
        <v/>
      </c>
      <c r="J79" s="54" t="str">
        <f>IF(OR(Movimientos!B79="",Movimientos!J79=""),"",Movimientos!J79)</f>
        <v/>
      </c>
      <c r="K79" s="54" t="str">
        <f t="shared" si="1"/>
        <v/>
      </c>
      <c r="L79" s="54" t="str">
        <f t="shared" si="2"/>
        <v/>
      </c>
      <c r="M79" s="54" t="str">
        <f t="shared" si="3"/>
        <v/>
      </c>
      <c r="N79" s="1" t="str">
        <f t="shared" si="4"/>
        <v/>
      </c>
      <c r="O79" s="1"/>
      <c r="P79" s="1"/>
      <c r="Q79" s="1"/>
      <c r="R79" s="1"/>
    </row>
    <row r="80" ht="24.75" customHeight="1">
      <c r="A80" s="1"/>
      <c r="B80" s="1" t="str">
        <f>IF(OR(Movimientos!B80="",Movimientos!B80=""),"",Movimientos!B80)</f>
        <v/>
      </c>
      <c r="C80" s="36" t="str">
        <f>IF(OR(Movimientos!B80="",Movimientos!C80=""),"",Movimientos!C80)</f>
        <v/>
      </c>
      <c r="D80" s="1" t="str">
        <f>IF(OR(Movimientos!B80="",Movimientos!D80=""),"",Movimientos!D80)</f>
        <v/>
      </c>
      <c r="E80" s="1" t="str">
        <f>IF(OR(Movimientos!B80="",Movimientos!F80=""),"",Movimientos!F80)</f>
        <v/>
      </c>
      <c r="F80" s="1" t="str">
        <f t="array" ref="F80">IF(E80="","",INDEX('Configuración'!$D$15:$D$134,MATCH(E80,'Configuración'!$E$15:$E$134,0)))</f>
        <v/>
      </c>
      <c r="G80" s="1" t="str">
        <f>IF(OR(Movimientos!B80="",Movimientos!G80=""),"",Movimientos!G80)</f>
        <v/>
      </c>
      <c r="H80" s="1" t="str">
        <f>IF(OR(Movimientos!B80="",Movimientos!H80=""),"",Movimientos!H80)</f>
        <v/>
      </c>
      <c r="I80" s="54" t="str">
        <f>IF(OR(Movimientos!B80="",Movimientos!I80=""),"",Movimientos!I80)</f>
        <v/>
      </c>
      <c r="J80" s="54" t="str">
        <f>IF(OR(Movimientos!B80="",Movimientos!J80=""),"",Movimientos!J80)</f>
        <v/>
      </c>
      <c r="K80" s="54" t="str">
        <f t="shared" si="1"/>
        <v/>
      </c>
      <c r="L80" s="54" t="str">
        <f t="shared" si="2"/>
        <v/>
      </c>
      <c r="M80" s="54" t="str">
        <f t="shared" si="3"/>
        <v/>
      </c>
      <c r="N80" s="1" t="str">
        <f t="shared" si="4"/>
        <v/>
      </c>
      <c r="O80" s="1"/>
      <c r="P80" s="1"/>
      <c r="Q80" s="1"/>
      <c r="R80" s="1"/>
    </row>
    <row r="81" ht="24.75" customHeight="1">
      <c r="A81" s="1"/>
      <c r="B81" s="1" t="str">
        <f>IF(OR(Movimientos!B81="",Movimientos!B81=""),"",Movimientos!B81)</f>
        <v/>
      </c>
      <c r="C81" s="36" t="str">
        <f>IF(OR(Movimientos!B81="",Movimientos!C81=""),"",Movimientos!C81)</f>
        <v/>
      </c>
      <c r="D81" s="1" t="str">
        <f>IF(OR(Movimientos!B81="",Movimientos!D81=""),"",Movimientos!D81)</f>
        <v/>
      </c>
      <c r="E81" s="1" t="str">
        <f>IF(OR(Movimientos!B81="",Movimientos!F81=""),"",Movimientos!F81)</f>
        <v/>
      </c>
      <c r="F81" s="1" t="str">
        <f t="array" ref="F81">IF(E81="","",INDEX('Configuración'!$D$15:$D$134,MATCH(E81,'Configuración'!$E$15:$E$134,0)))</f>
        <v/>
      </c>
      <c r="G81" s="1" t="str">
        <f>IF(OR(Movimientos!B81="",Movimientos!G81=""),"",Movimientos!G81)</f>
        <v/>
      </c>
      <c r="H81" s="1" t="str">
        <f>IF(OR(Movimientos!B81="",Movimientos!H81=""),"",Movimientos!H81)</f>
        <v/>
      </c>
      <c r="I81" s="54" t="str">
        <f>IF(OR(Movimientos!B81="",Movimientos!I81=""),"",Movimientos!I81)</f>
        <v/>
      </c>
      <c r="J81" s="54" t="str">
        <f>IF(OR(Movimientos!B81="",Movimientos!J81=""),"",Movimientos!J81)</f>
        <v/>
      </c>
      <c r="K81" s="54" t="str">
        <f t="shared" si="1"/>
        <v/>
      </c>
      <c r="L81" s="54" t="str">
        <f t="shared" si="2"/>
        <v/>
      </c>
      <c r="M81" s="54" t="str">
        <f t="shared" si="3"/>
        <v/>
      </c>
      <c r="N81" s="1" t="str">
        <f t="shared" si="4"/>
        <v/>
      </c>
      <c r="O81" s="1"/>
      <c r="P81" s="1"/>
      <c r="Q81" s="1"/>
      <c r="R81" s="1"/>
    </row>
    <row r="82" ht="24.75" customHeight="1">
      <c r="A82" s="1"/>
      <c r="B82" s="1" t="str">
        <f>IF(OR(Movimientos!B82="",Movimientos!B82=""),"",Movimientos!B82)</f>
        <v/>
      </c>
      <c r="C82" s="36" t="str">
        <f>IF(OR(Movimientos!B82="",Movimientos!C82=""),"",Movimientos!C82)</f>
        <v/>
      </c>
      <c r="D82" s="1" t="str">
        <f>IF(OR(Movimientos!B82="",Movimientos!D82=""),"",Movimientos!D82)</f>
        <v/>
      </c>
      <c r="E82" s="1" t="str">
        <f>IF(OR(Movimientos!B82="",Movimientos!F82=""),"",Movimientos!F82)</f>
        <v/>
      </c>
      <c r="F82" s="1" t="str">
        <f t="array" ref="F82">IF(E82="","",INDEX('Configuración'!$D$15:$D$134,MATCH(E82,'Configuración'!$E$15:$E$134,0)))</f>
        <v/>
      </c>
      <c r="G82" s="1" t="str">
        <f>IF(OR(Movimientos!B82="",Movimientos!G82=""),"",Movimientos!G82)</f>
        <v/>
      </c>
      <c r="H82" s="1" t="str">
        <f>IF(OR(Movimientos!B82="",Movimientos!H82=""),"",Movimientos!H82)</f>
        <v/>
      </c>
      <c r="I82" s="54" t="str">
        <f>IF(OR(Movimientos!B82="",Movimientos!I82=""),"",Movimientos!I82)</f>
        <v/>
      </c>
      <c r="J82" s="54" t="str">
        <f>IF(OR(Movimientos!B82="",Movimientos!J82=""),"",Movimientos!J82)</f>
        <v/>
      </c>
      <c r="K82" s="54" t="str">
        <f t="shared" si="1"/>
        <v/>
      </c>
      <c r="L82" s="54" t="str">
        <f t="shared" si="2"/>
        <v/>
      </c>
      <c r="M82" s="54" t="str">
        <f t="shared" si="3"/>
        <v/>
      </c>
      <c r="N82" s="1" t="str">
        <f t="shared" si="4"/>
        <v/>
      </c>
      <c r="O82" s="1"/>
      <c r="P82" s="1"/>
      <c r="Q82" s="1"/>
      <c r="R82" s="1"/>
    </row>
    <row r="83" ht="24.75" customHeight="1">
      <c r="A83" s="1"/>
      <c r="B83" s="1" t="str">
        <f>IF(OR(Movimientos!B83="",Movimientos!B83=""),"",Movimientos!B83)</f>
        <v/>
      </c>
      <c r="C83" s="36" t="str">
        <f>IF(OR(Movimientos!B83="",Movimientos!C83=""),"",Movimientos!C83)</f>
        <v/>
      </c>
      <c r="D83" s="1" t="str">
        <f>IF(OR(Movimientos!B83="",Movimientos!D83=""),"",Movimientos!D83)</f>
        <v/>
      </c>
      <c r="E83" s="1" t="str">
        <f>IF(OR(Movimientos!B83="",Movimientos!F83=""),"",Movimientos!F83)</f>
        <v/>
      </c>
      <c r="F83" s="1" t="str">
        <f t="array" ref="F83">IF(E83="","",INDEX('Configuración'!$D$15:$D$134,MATCH(E83,'Configuración'!$E$15:$E$134,0)))</f>
        <v/>
      </c>
      <c r="G83" s="1" t="str">
        <f>IF(OR(Movimientos!B83="",Movimientos!G83=""),"",Movimientos!G83)</f>
        <v/>
      </c>
      <c r="H83" s="1" t="str">
        <f>IF(OR(Movimientos!B83="",Movimientos!H83=""),"",Movimientos!H83)</f>
        <v/>
      </c>
      <c r="I83" s="54" t="str">
        <f>IF(OR(Movimientos!B83="",Movimientos!I83=""),"",Movimientos!I83)</f>
        <v/>
      </c>
      <c r="J83" s="54" t="str">
        <f>IF(OR(Movimientos!B83="",Movimientos!J83=""),"",Movimientos!J83)</f>
        <v/>
      </c>
      <c r="K83" s="54" t="str">
        <f t="shared" si="1"/>
        <v/>
      </c>
      <c r="L83" s="54" t="str">
        <f t="shared" si="2"/>
        <v/>
      </c>
      <c r="M83" s="54" t="str">
        <f t="shared" si="3"/>
        <v/>
      </c>
      <c r="N83" s="1" t="str">
        <f t="shared" si="4"/>
        <v/>
      </c>
      <c r="O83" s="1"/>
      <c r="P83" s="1"/>
      <c r="Q83" s="1"/>
      <c r="R83" s="1"/>
    </row>
    <row r="84" ht="24.75" customHeight="1">
      <c r="A84" s="1"/>
      <c r="B84" s="1" t="str">
        <f>IF(OR(Movimientos!B84="",Movimientos!B84=""),"",Movimientos!B84)</f>
        <v/>
      </c>
      <c r="C84" s="36" t="str">
        <f>IF(OR(Movimientos!B84="",Movimientos!C84=""),"",Movimientos!C84)</f>
        <v/>
      </c>
      <c r="D84" s="1" t="str">
        <f>IF(OR(Movimientos!B84="",Movimientos!D84=""),"",Movimientos!D84)</f>
        <v/>
      </c>
      <c r="E84" s="1" t="str">
        <f>IF(OR(Movimientos!B84="",Movimientos!F84=""),"",Movimientos!F84)</f>
        <v/>
      </c>
      <c r="F84" s="1" t="str">
        <f t="array" ref="F84">IF(E84="","",INDEX('Configuración'!$D$15:$D$134,MATCH(E84,'Configuración'!$E$15:$E$134,0)))</f>
        <v/>
      </c>
      <c r="G84" s="1" t="str">
        <f>IF(OR(Movimientos!B84="",Movimientos!G84=""),"",Movimientos!G84)</f>
        <v/>
      </c>
      <c r="H84" s="1" t="str">
        <f>IF(OR(Movimientos!B84="",Movimientos!H84=""),"",Movimientos!H84)</f>
        <v/>
      </c>
      <c r="I84" s="54" t="str">
        <f>IF(OR(Movimientos!B84="",Movimientos!I84=""),"",Movimientos!I84)</f>
        <v/>
      </c>
      <c r="J84" s="54" t="str">
        <f>IF(OR(Movimientos!B84="",Movimientos!J84=""),"",Movimientos!J84)</f>
        <v/>
      </c>
      <c r="K84" s="54" t="str">
        <f t="shared" si="1"/>
        <v/>
      </c>
      <c r="L84" s="54" t="str">
        <f t="shared" si="2"/>
        <v/>
      </c>
      <c r="M84" s="54" t="str">
        <f t="shared" si="3"/>
        <v/>
      </c>
      <c r="N84" s="1" t="str">
        <f t="shared" si="4"/>
        <v/>
      </c>
      <c r="O84" s="1"/>
      <c r="P84" s="1"/>
      <c r="Q84" s="1"/>
      <c r="R84" s="1"/>
    </row>
    <row r="85" ht="24.75" customHeight="1">
      <c r="A85" s="1"/>
      <c r="B85" s="1" t="str">
        <f>IF(OR(Movimientos!B85="",Movimientos!B85=""),"",Movimientos!B85)</f>
        <v/>
      </c>
      <c r="C85" s="36" t="str">
        <f>IF(OR(Movimientos!B85="",Movimientos!C85=""),"",Movimientos!C85)</f>
        <v/>
      </c>
      <c r="D85" s="1" t="str">
        <f>IF(OR(Movimientos!B85="",Movimientos!D85=""),"",Movimientos!D85)</f>
        <v/>
      </c>
      <c r="E85" s="1" t="str">
        <f>IF(OR(Movimientos!B85="",Movimientos!F85=""),"",Movimientos!F85)</f>
        <v/>
      </c>
      <c r="F85" s="1" t="str">
        <f t="array" ref="F85">IF(E85="","",INDEX('Configuración'!$D$15:$D$134,MATCH(E85,'Configuración'!$E$15:$E$134,0)))</f>
        <v/>
      </c>
      <c r="G85" s="1" t="str">
        <f>IF(OR(Movimientos!B85="",Movimientos!G85=""),"",Movimientos!G85)</f>
        <v/>
      </c>
      <c r="H85" s="1" t="str">
        <f>IF(OR(Movimientos!B85="",Movimientos!H85=""),"",Movimientos!H85)</f>
        <v/>
      </c>
      <c r="I85" s="54" t="str">
        <f>IF(OR(Movimientos!B85="",Movimientos!I85=""),"",Movimientos!I85)</f>
        <v/>
      </c>
      <c r="J85" s="54" t="str">
        <f>IF(OR(Movimientos!B85="",Movimientos!J85=""),"",Movimientos!J85)</f>
        <v/>
      </c>
      <c r="K85" s="54" t="str">
        <f t="shared" si="1"/>
        <v/>
      </c>
      <c r="L85" s="54" t="str">
        <f t="shared" si="2"/>
        <v/>
      </c>
      <c r="M85" s="54" t="str">
        <f t="shared" si="3"/>
        <v/>
      </c>
      <c r="N85" s="1" t="str">
        <f t="shared" si="4"/>
        <v/>
      </c>
      <c r="O85" s="1"/>
      <c r="P85" s="1"/>
      <c r="Q85" s="1"/>
      <c r="R85" s="1"/>
    </row>
    <row r="86" ht="24.75" customHeight="1">
      <c r="A86" s="1"/>
      <c r="B86" s="1" t="str">
        <f>IF(OR(Movimientos!B86="",Movimientos!B86=""),"",Movimientos!B86)</f>
        <v/>
      </c>
      <c r="C86" s="36" t="str">
        <f>IF(OR(Movimientos!B86="",Movimientos!C86=""),"",Movimientos!C86)</f>
        <v/>
      </c>
      <c r="D86" s="1" t="str">
        <f>IF(OR(Movimientos!B86="",Movimientos!D86=""),"",Movimientos!D86)</f>
        <v/>
      </c>
      <c r="E86" s="1" t="str">
        <f>IF(OR(Movimientos!B86="",Movimientos!F86=""),"",Movimientos!F86)</f>
        <v/>
      </c>
      <c r="F86" s="1" t="str">
        <f t="array" ref="F86">IF(E86="","",INDEX('Configuración'!$D$15:$D$134,MATCH(E86,'Configuración'!$E$15:$E$134,0)))</f>
        <v/>
      </c>
      <c r="G86" s="1" t="str">
        <f>IF(OR(Movimientos!B86="",Movimientos!G86=""),"",Movimientos!G86)</f>
        <v/>
      </c>
      <c r="H86" s="1" t="str">
        <f>IF(OR(Movimientos!B86="",Movimientos!H86=""),"",Movimientos!H86)</f>
        <v/>
      </c>
      <c r="I86" s="54" t="str">
        <f>IF(OR(Movimientos!B86="",Movimientos!I86=""),"",Movimientos!I86)</f>
        <v/>
      </c>
      <c r="J86" s="54" t="str">
        <f>IF(OR(Movimientos!B86="",Movimientos!J86=""),"",Movimientos!J86)</f>
        <v/>
      </c>
      <c r="K86" s="54" t="str">
        <f t="shared" si="1"/>
        <v/>
      </c>
      <c r="L86" s="54" t="str">
        <f t="shared" si="2"/>
        <v/>
      </c>
      <c r="M86" s="54" t="str">
        <f t="shared" si="3"/>
        <v/>
      </c>
      <c r="N86" s="1" t="str">
        <f t="shared" si="4"/>
        <v/>
      </c>
      <c r="O86" s="1"/>
      <c r="P86" s="1"/>
      <c r="Q86" s="1"/>
      <c r="R86" s="1"/>
    </row>
    <row r="87" ht="24.75" customHeight="1">
      <c r="A87" s="1"/>
      <c r="B87" s="1" t="str">
        <f>IF(OR(Movimientos!B87="",Movimientos!B87=""),"",Movimientos!B87)</f>
        <v/>
      </c>
      <c r="C87" s="36" t="str">
        <f>IF(OR(Movimientos!B87="",Movimientos!C87=""),"",Movimientos!C87)</f>
        <v/>
      </c>
      <c r="D87" s="1" t="str">
        <f>IF(OR(Movimientos!B87="",Movimientos!D87=""),"",Movimientos!D87)</f>
        <v/>
      </c>
      <c r="E87" s="1" t="str">
        <f>IF(OR(Movimientos!B87="",Movimientos!F87=""),"",Movimientos!F87)</f>
        <v/>
      </c>
      <c r="F87" s="1" t="str">
        <f t="array" ref="F87">IF(E87="","",INDEX('Configuración'!$D$15:$D$134,MATCH(E87,'Configuración'!$E$15:$E$134,0)))</f>
        <v/>
      </c>
      <c r="G87" s="1" t="str">
        <f>IF(OR(Movimientos!B87="",Movimientos!G87=""),"",Movimientos!G87)</f>
        <v/>
      </c>
      <c r="H87" s="1" t="str">
        <f>IF(OR(Movimientos!B87="",Movimientos!H87=""),"",Movimientos!H87)</f>
        <v/>
      </c>
      <c r="I87" s="54" t="str">
        <f>IF(OR(Movimientos!B87="",Movimientos!I87=""),"",Movimientos!I87)</f>
        <v/>
      </c>
      <c r="J87" s="54" t="str">
        <f>IF(OR(Movimientos!B87="",Movimientos!J87=""),"",Movimientos!J87)</f>
        <v/>
      </c>
      <c r="K87" s="54" t="str">
        <f t="shared" si="1"/>
        <v/>
      </c>
      <c r="L87" s="54" t="str">
        <f t="shared" si="2"/>
        <v/>
      </c>
      <c r="M87" s="54" t="str">
        <f t="shared" si="3"/>
        <v/>
      </c>
      <c r="N87" s="1" t="str">
        <f t="shared" si="4"/>
        <v/>
      </c>
      <c r="O87" s="1"/>
      <c r="P87" s="1"/>
      <c r="Q87" s="1"/>
      <c r="R87" s="1"/>
    </row>
    <row r="88" ht="24.75" customHeight="1">
      <c r="A88" s="1"/>
      <c r="B88" s="1" t="str">
        <f>IF(OR(Movimientos!B88="",Movimientos!B88=""),"",Movimientos!B88)</f>
        <v/>
      </c>
      <c r="C88" s="36" t="str">
        <f>IF(OR(Movimientos!B88="",Movimientos!C88=""),"",Movimientos!C88)</f>
        <v/>
      </c>
      <c r="D88" s="1" t="str">
        <f>IF(OR(Movimientos!B88="",Movimientos!D88=""),"",Movimientos!D88)</f>
        <v/>
      </c>
      <c r="E88" s="1" t="str">
        <f>IF(OR(Movimientos!B88="",Movimientos!F88=""),"",Movimientos!F88)</f>
        <v/>
      </c>
      <c r="F88" s="1" t="str">
        <f t="array" ref="F88">IF(E88="","",INDEX('Configuración'!$D$15:$D$134,MATCH(E88,'Configuración'!$E$15:$E$134,0)))</f>
        <v/>
      </c>
      <c r="G88" s="1" t="str">
        <f>IF(OR(Movimientos!B88="",Movimientos!G88=""),"",Movimientos!G88)</f>
        <v/>
      </c>
      <c r="H88" s="1" t="str">
        <f>IF(OR(Movimientos!B88="",Movimientos!H88=""),"",Movimientos!H88)</f>
        <v/>
      </c>
      <c r="I88" s="54" t="str">
        <f>IF(OR(Movimientos!B88="",Movimientos!I88=""),"",Movimientos!I88)</f>
        <v/>
      </c>
      <c r="J88" s="54" t="str">
        <f>IF(OR(Movimientos!B88="",Movimientos!J88=""),"",Movimientos!J88)</f>
        <v/>
      </c>
      <c r="K88" s="54" t="str">
        <f t="shared" si="1"/>
        <v/>
      </c>
      <c r="L88" s="54" t="str">
        <f t="shared" si="2"/>
        <v/>
      </c>
      <c r="M88" s="54" t="str">
        <f t="shared" si="3"/>
        <v/>
      </c>
      <c r="N88" s="1" t="str">
        <f t="shared" si="4"/>
        <v/>
      </c>
      <c r="O88" s="1"/>
      <c r="P88" s="1"/>
      <c r="Q88" s="1"/>
      <c r="R88" s="1"/>
    </row>
    <row r="89" ht="24.75" customHeight="1">
      <c r="A89" s="1"/>
      <c r="B89" s="1" t="str">
        <f>IF(OR(Movimientos!B89="",Movimientos!B89=""),"",Movimientos!B89)</f>
        <v/>
      </c>
      <c r="C89" s="36" t="str">
        <f>IF(OR(Movimientos!B89="",Movimientos!C89=""),"",Movimientos!C89)</f>
        <v/>
      </c>
      <c r="D89" s="1" t="str">
        <f>IF(OR(Movimientos!B89="",Movimientos!D89=""),"",Movimientos!D89)</f>
        <v/>
      </c>
      <c r="E89" s="1" t="str">
        <f>IF(OR(Movimientos!B89="",Movimientos!F89=""),"",Movimientos!F89)</f>
        <v/>
      </c>
      <c r="F89" s="1" t="str">
        <f t="array" ref="F89">IF(E89="","",INDEX('Configuración'!$D$15:$D$134,MATCH(E89,'Configuración'!$E$15:$E$134,0)))</f>
        <v/>
      </c>
      <c r="G89" s="1" t="str">
        <f>IF(OR(Movimientos!B89="",Movimientos!G89=""),"",Movimientos!G89)</f>
        <v/>
      </c>
      <c r="H89" s="1" t="str">
        <f>IF(OR(Movimientos!B89="",Movimientos!H89=""),"",Movimientos!H89)</f>
        <v/>
      </c>
      <c r="I89" s="54" t="str">
        <f>IF(OR(Movimientos!B89="",Movimientos!I89=""),"",Movimientos!I89)</f>
        <v/>
      </c>
      <c r="J89" s="54" t="str">
        <f>IF(OR(Movimientos!B89="",Movimientos!J89=""),"",Movimientos!J89)</f>
        <v/>
      </c>
      <c r="K89" s="54" t="str">
        <f t="shared" si="1"/>
        <v/>
      </c>
      <c r="L89" s="54" t="str">
        <f t="shared" si="2"/>
        <v/>
      </c>
      <c r="M89" s="54" t="str">
        <f t="shared" si="3"/>
        <v/>
      </c>
      <c r="N89" s="1" t="str">
        <f t="shared" si="4"/>
        <v/>
      </c>
      <c r="O89" s="1"/>
      <c r="P89" s="1"/>
      <c r="Q89" s="1"/>
      <c r="R89" s="1"/>
    </row>
    <row r="90" ht="24.75" customHeight="1">
      <c r="A90" s="1"/>
      <c r="B90" s="1" t="str">
        <f>IF(OR(Movimientos!B90="",Movimientos!B90=""),"",Movimientos!B90)</f>
        <v/>
      </c>
      <c r="C90" s="36" t="str">
        <f>IF(OR(Movimientos!B90="",Movimientos!C90=""),"",Movimientos!C90)</f>
        <v/>
      </c>
      <c r="D90" s="1" t="str">
        <f>IF(OR(Movimientos!B90="",Movimientos!D90=""),"",Movimientos!D90)</f>
        <v/>
      </c>
      <c r="E90" s="1" t="str">
        <f>IF(OR(Movimientos!B90="",Movimientos!F90=""),"",Movimientos!F90)</f>
        <v/>
      </c>
      <c r="F90" s="1" t="str">
        <f t="array" ref="F90">IF(E90="","",INDEX('Configuración'!$D$15:$D$134,MATCH(E90,'Configuración'!$E$15:$E$134,0)))</f>
        <v/>
      </c>
      <c r="G90" s="1" t="str">
        <f>IF(OR(Movimientos!B90="",Movimientos!G90=""),"",Movimientos!G90)</f>
        <v/>
      </c>
      <c r="H90" s="1" t="str">
        <f>IF(OR(Movimientos!B90="",Movimientos!H90=""),"",Movimientos!H90)</f>
        <v/>
      </c>
      <c r="I90" s="54" t="str">
        <f>IF(OR(Movimientos!B90="",Movimientos!I90=""),"",Movimientos!I90)</f>
        <v/>
      </c>
      <c r="J90" s="54" t="str">
        <f>IF(OR(Movimientos!B90="",Movimientos!J90=""),"",Movimientos!J90)</f>
        <v/>
      </c>
      <c r="K90" s="54" t="str">
        <f t="shared" si="1"/>
        <v/>
      </c>
      <c r="L90" s="54" t="str">
        <f t="shared" si="2"/>
        <v/>
      </c>
      <c r="M90" s="54" t="str">
        <f t="shared" si="3"/>
        <v/>
      </c>
      <c r="N90" s="1" t="str">
        <f t="shared" si="4"/>
        <v/>
      </c>
      <c r="O90" s="1"/>
      <c r="P90" s="1"/>
      <c r="Q90" s="1"/>
      <c r="R90" s="1"/>
    </row>
    <row r="91" ht="24.75" customHeight="1">
      <c r="A91" s="1"/>
      <c r="B91" s="1" t="str">
        <f>IF(OR(Movimientos!B91="",Movimientos!B91=""),"",Movimientos!B91)</f>
        <v/>
      </c>
      <c r="C91" s="36" t="str">
        <f>IF(OR(Movimientos!B91="",Movimientos!C91=""),"",Movimientos!C91)</f>
        <v/>
      </c>
      <c r="D91" s="1" t="str">
        <f>IF(OR(Movimientos!B91="",Movimientos!D91=""),"",Movimientos!D91)</f>
        <v/>
      </c>
      <c r="E91" s="1" t="str">
        <f>IF(OR(Movimientos!B91="",Movimientos!F91=""),"",Movimientos!F91)</f>
        <v/>
      </c>
      <c r="F91" s="1" t="str">
        <f t="array" ref="F91">IF(E91="","",INDEX('Configuración'!$D$15:$D$134,MATCH(E91,'Configuración'!$E$15:$E$134,0)))</f>
        <v/>
      </c>
      <c r="G91" s="1" t="str">
        <f>IF(OR(Movimientos!B91="",Movimientos!G91=""),"",Movimientos!G91)</f>
        <v/>
      </c>
      <c r="H91" s="1" t="str">
        <f>IF(OR(Movimientos!B91="",Movimientos!H91=""),"",Movimientos!H91)</f>
        <v/>
      </c>
      <c r="I91" s="54" t="str">
        <f>IF(OR(Movimientos!B91="",Movimientos!I91=""),"",Movimientos!I91)</f>
        <v/>
      </c>
      <c r="J91" s="54" t="str">
        <f>IF(OR(Movimientos!B91="",Movimientos!J91=""),"",Movimientos!J91)</f>
        <v/>
      </c>
      <c r="K91" s="54" t="str">
        <f t="shared" si="1"/>
        <v/>
      </c>
      <c r="L91" s="54" t="str">
        <f t="shared" si="2"/>
        <v/>
      </c>
      <c r="M91" s="54" t="str">
        <f t="shared" si="3"/>
        <v/>
      </c>
      <c r="N91" s="1" t="str">
        <f t="shared" si="4"/>
        <v/>
      </c>
      <c r="O91" s="1"/>
      <c r="P91" s="1"/>
      <c r="Q91" s="1"/>
      <c r="R91" s="1"/>
    </row>
    <row r="92" ht="24.75" customHeight="1">
      <c r="A92" s="1"/>
      <c r="B92" s="1" t="str">
        <f>IF(OR(Movimientos!B92="",Movimientos!B92=""),"",Movimientos!B92)</f>
        <v/>
      </c>
      <c r="C92" s="36" t="str">
        <f>IF(OR(Movimientos!B92="",Movimientos!C92=""),"",Movimientos!C92)</f>
        <v/>
      </c>
      <c r="D92" s="1" t="str">
        <f>IF(OR(Movimientos!B92="",Movimientos!D92=""),"",Movimientos!D92)</f>
        <v/>
      </c>
      <c r="E92" s="1" t="str">
        <f>IF(OR(Movimientos!B92="",Movimientos!F92=""),"",Movimientos!F92)</f>
        <v/>
      </c>
      <c r="F92" s="1" t="str">
        <f t="array" ref="F92">IF(E92="","",INDEX('Configuración'!$D$15:$D$134,MATCH(E92,'Configuración'!$E$15:$E$134,0)))</f>
        <v/>
      </c>
      <c r="G92" s="1" t="str">
        <f>IF(OR(Movimientos!B92="",Movimientos!G92=""),"",Movimientos!G92)</f>
        <v/>
      </c>
      <c r="H92" s="1" t="str">
        <f>IF(OR(Movimientos!B92="",Movimientos!H92=""),"",Movimientos!H92)</f>
        <v/>
      </c>
      <c r="I92" s="54" t="str">
        <f>IF(OR(Movimientos!B92="",Movimientos!I92=""),"",Movimientos!I92)</f>
        <v/>
      </c>
      <c r="J92" s="54" t="str">
        <f>IF(OR(Movimientos!B92="",Movimientos!J92=""),"",Movimientos!J92)</f>
        <v/>
      </c>
      <c r="K92" s="54" t="str">
        <f t="shared" si="1"/>
        <v/>
      </c>
      <c r="L92" s="54" t="str">
        <f t="shared" si="2"/>
        <v/>
      </c>
      <c r="M92" s="54" t="str">
        <f t="shared" si="3"/>
        <v/>
      </c>
      <c r="N92" s="1" t="str">
        <f t="shared" si="4"/>
        <v/>
      </c>
      <c r="O92" s="1"/>
      <c r="P92" s="1"/>
      <c r="Q92" s="1"/>
      <c r="R92" s="1"/>
    </row>
    <row r="93" ht="24.75" customHeight="1">
      <c r="A93" s="1"/>
      <c r="B93" s="1" t="str">
        <f>IF(OR(Movimientos!B93="",Movimientos!B93=""),"",Movimientos!B93)</f>
        <v/>
      </c>
      <c r="C93" s="36" t="str">
        <f>IF(OR(Movimientos!B93="",Movimientos!C93=""),"",Movimientos!C93)</f>
        <v/>
      </c>
      <c r="D93" s="1" t="str">
        <f>IF(OR(Movimientos!B93="",Movimientos!D93=""),"",Movimientos!D93)</f>
        <v/>
      </c>
      <c r="E93" s="1" t="str">
        <f>IF(OR(Movimientos!B93="",Movimientos!F93=""),"",Movimientos!F93)</f>
        <v/>
      </c>
      <c r="F93" s="1" t="str">
        <f t="array" ref="F93">IF(E93="","",INDEX('Configuración'!$D$15:$D$134,MATCH(E93,'Configuración'!$E$15:$E$134,0)))</f>
        <v/>
      </c>
      <c r="G93" s="1" t="str">
        <f>IF(OR(Movimientos!B93="",Movimientos!G93=""),"",Movimientos!G93)</f>
        <v/>
      </c>
      <c r="H93" s="1" t="str">
        <f>IF(OR(Movimientos!B93="",Movimientos!H93=""),"",Movimientos!H93)</f>
        <v/>
      </c>
      <c r="I93" s="54" t="str">
        <f>IF(OR(Movimientos!B93="",Movimientos!I93=""),"",Movimientos!I93)</f>
        <v/>
      </c>
      <c r="J93" s="54" t="str">
        <f>IF(OR(Movimientos!B93="",Movimientos!J93=""),"",Movimientos!J93)</f>
        <v/>
      </c>
      <c r="K93" s="54" t="str">
        <f t="shared" si="1"/>
        <v/>
      </c>
      <c r="L93" s="54" t="str">
        <f t="shared" si="2"/>
        <v/>
      </c>
      <c r="M93" s="54" t="str">
        <f t="shared" si="3"/>
        <v/>
      </c>
      <c r="N93" s="1" t="str">
        <f t="shared" si="4"/>
        <v/>
      </c>
      <c r="O93" s="1"/>
      <c r="P93" s="1"/>
      <c r="Q93" s="1"/>
      <c r="R93" s="1"/>
    </row>
    <row r="94" ht="24.75" customHeight="1">
      <c r="A94" s="1"/>
      <c r="B94" s="1" t="str">
        <f>IF(OR(Movimientos!B94="",Movimientos!B94=""),"",Movimientos!B94)</f>
        <v/>
      </c>
      <c r="C94" s="36" t="str">
        <f>IF(OR(Movimientos!B94="",Movimientos!C94=""),"",Movimientos!C94)</f>
        <v/>
      </c>
      <c r="D94" s="1" t="str">
        <f>IF(OR(Movimientos!B94="",Movimientos!D94=""),"",Movimientos!D94)</f>
        <v/>
      </c>
      <c r="E94" s="1" t="str">
        <f>IF(OR(Movimientos!B94="",Movimientos!F94=""),"",Movimientos!F94)</f>
        <v/>
      </c>
      <c r="F94" s="1" t="str">
        <f t="array" ref="F94">IF(E94="","",INDEX('Configuración'!$D$15:$D$134,MATCH(E94,'Configuración'!$E$15:$E$134,0)))</f>
        <v/>
      </c>
      <c r="G94" s="1" t="str">
        <f>IF(OR(Movimientos!B94="",Movimientos!G94=""),"",Movimientos!G94)</f>
        <v/>
      </c>
      <c r="H94" s="1" t="str">
        <f>IF(OR(Movimientos!B94="",Movimientos!H94=""),"",Movimientos!H94)</f>
        <v/>
      </c>
      <c r="I94" s="54" t="str">
        <f>IF(OR(Movimientos!B94="",Movimientos!I94=""),"",Movimientos!I94)</f>
        <v/>
      </c>
      <c r="J94" s="54" t="str">
        <f>IF(OR(Movimientos!B94="",Movimientos!J94=""),"",Movimientos!J94)</f>
        <v/>
      </c>
      <c r="K94" s="54" t="str">
        <f t="shared" si="1"/>
        <v/>
      </c>
      <c r="L94" s="54" t="str">
        <f t="shared" si="2"/>
        <v/>
      </c>
      <c r="M94" s="54" t="str">
        <f t="shared" si="3"/>
        <v/>
      </c>
      <c r="N94" s="1" t="str">
        <f t="shared" si="4"/>
        <v/>
      </c>
      <c r="O94" s="1"/>
      <c r="P94" s="1"/>
      <c r="Q94" s="1"/>
      <c r="R94" s="1"/>
    </row>
    <row r="95" ht="24.75" customHeight="1">
      <c r="A95" s="1"/>
      <c r="B95" s="1" t="str">
        <f>IF(OR(Movimientos!B95="",Movimientos!B95=""),"",Movimientos!B95)</f>
        <v/>
      </c>
      <c r="C95" s="36" t="str">
        <f>IF(OR(Movimientos!B95="",Movimientos!C95=""),"",Movimientos!C95)</f>
        <v/>
      </c>
      <c r="D95" s="1" t="str">
        <f>IF(OR(Movimientos!B95="",Movimientos!D95=""),"",Movimientos!D95)</f>
        <v/>
      </c>
      <c r="E95" s="1" t="str">
        <f>IF(OR(Movimientos!B95="",Movimientos!F95=""),"",Movimientos!F95)</f>
        <v/>
      </c>
      <c r="F95" s="1" t="str">
        <f t="array" ref="F95">IF(E95="","",INDEX('Configuración'!$D$15:$D$134,MATCH(E95,'Configuración'!$E$15:$E$134,0)))</f>
        <v/>
      </c>
      <c r="G95" s="1" t="str">
        <f>IF(OR(Movimientos!B95="",Movimientos!G95=""),"",Movimientos!G95)</f>
        <v/>
      </c>
      <c r="H95" s="1" t="str">
        <f>IF(OR(Movimientos!B95="",Movimientos!H95=""),"",Movimientos!H95)</f>
        <v/>
      </c>
      <c r="I95" s="54" t="str">
        <f>IF(OR(Movimientos!B95="",Movimientos!I95=""),"",Movimientos!I95)</f>
        <v/>
      </c>
      <c r="J95" s="54" t="str">
        <f>IF(OR(Movimientos!B95="",Movimientos!J95=""),"",Movimientos!J95)</f>
        <v/>
      </c>
      <c r="K95" s="54" t="str">
        <f t="shared" si="1"/>
        <v/>
      </c>
      <c r="L95" s="54" t="str">
        <f t="shared" si="2"/>
        <v/>
      </c>
      <c r="M95" s="54" t="str">
        <f t="shared" si="3"/>
        <v/>
      </c>
      <c r="N95" s="1" t="str">
        <f t="shared" si="4"/>
        <v/>
      </c>
      <c r="O95" s="1"/>
      <c r="P95" s="1"/>
      <c r="Q95" s="1"/>
      <c r="R95" s="1"/>
    </row>
    <row r="96" ht="24.75" customHeight="1">
      <c r="A96" s="1"/>
      <c r="B96" s="1" t="str">
        <f>IF(OR(Movimientos!B96="",Movimientos!B96=""),"",Movimientos!B96)</f>
        <v/>
      </c>
      <c r="C96" s="36" t="str">
        <f>IF(OR(Movimientos!B96="",Movimientos!C96=""),"",Movimientos!C96)</f>
        <v/>
      </c>
      <c r="D96" s="1" t="str">
        <f>IF(OR(Movimientos!B96="",Movimientos!D96=""),"",Movimientos!D96)</f>
        <v/>
      </c>
      <c r="E96" s="1" t="str">
        <f>IF(OR(Movimientos!B96="",Movimientos!F96=""),"",Movimientos!F96)</f>
        <v/>
      </c>
      <c r="F96" s="1" t="str">
        <f t="array" ref="F96">IF(E96="","",INDEX('Configuración'!$D$15:$D$134,MATCH(E96,'Configuración'!$E$15:$E$134,0)))</f>
        <v/>
      </c>
      <c r="G96" s="1" t="str">
        <f>IF(OR(Movimientos!B96="",Movimientos!G96=""),"",Movimientos!G96)</f>
        <v/>
      </c>
      <c r="H96" s="1" t="str">
        <f>IF(OR(Movimientos!B96="",Movimientos!H96=""),"",Movimientos!H96)</f>
        <v/>
      </c>
      <c r="I96" s="54" t="str">
        <f>IF(OR(Movimientos!B96="",Movimientos!I96=""),"",Movimientos!I96)</f>
        <v/>
      </c>
      <c r="J96" s="54" t="str">
        <f>IF(OR(Movimientos!B96="",Movimientos!J96=""),"",Movimientos!J96)</f>
        <v/>
      </c>
      <c r="K96" s="54" t="str">
        <f t="shared" si="1"/>
        <v/>
      </c>
      <c r="L96" s="54" t="str">
        <f t="shared" si="2"/>
        <v/>
      </c>
      <c r="M96" s="54" t="str">
        <f t="shared" si="3"/>
        <v/>
      </c>
      <c r="N96" s="1" t="str">
        <f t="shared" si="4"/>
        <v/>
      </c>
      <c r="O96" s="1"/>
      <c r="P96" s="1"/>
      <c r="Q96" s="1"/>
      <c r="R96" s="1"/>
    </row>
    <row r="97" ht="24.75" customHeight="1">
      <c r="A97" s="1"/>
      <c r="B97" s="1" t="str">
        <f>IF(OR(Movimientos!B97="",Movimientos!B97=""),"",Movimientos!B97)</f>
        <v/>
      </c>
      <c r="C97" s="36" t="str">
        <f>IF(OR(Movimientos!B97="",Movimientos!C97=""),"",Movimientos!C97)</f>
        <v/>
      </c>
      <c r="D97" s="1" t="str">
        <f>IF(OR(Movimientos!B97="",Movimientos!D97=""),"",Movimientos!D97)</f>
        <v/>
      </c>
      <c r="E97" s="1" t="str">
        <f>IF(OR(Movimientos!B97="",Movimientos!F97=""),"",Movimientos!F97)</f>
        <v/>
      </c>
      <c r="F97" s="1" t="str">
        <f t="array" ref="F97">IF(E97="","",INDEX('Configuración'!$D$15:$D$134,MATCH(E97,'Configuración'!$E$15:$E$134,0)))</f>
        <v/>
      </c>
      <c r="G97" s="1" t="str">
        <f>IF(OR(Movimientos!B97="",Movimientos!G97=""),"",Movimientos!G97)</f>
        <v/>
      </c>
      <c r="H97" s="1" t="str">
        <f>IF(OR(Movimientos!B97="",Movimientos!H97=""),"",Movimientos!H97)</f>
        <v/>
      </c>
      <c r="I97" s="54" t="str">
        <f>IF(OR(Movimientos!B97="",Movimientos!I97=""),"",Movimientos!I97)</f>
        <v/>
      </c>
      <c r="J97" s="54" t="str">
        <f>IF(OR(Movimientos!B97="",Movimientos!J97=""),"",Movimientos!J97)</f>
        <v/>
      </c>
      <c r="K97" s="54" t="str">
        <f t="shared" si="1"/>
        <v/>
      </c>
      <c r="L97" s="54" t="str">
        <f t="shared" si="2"/>
        <v/>
      </c>
      <c r="M97" s="54" t="str">
        <f t="shared" si="3"/>
        <v/>
      </c>
      <c r="N97" s="1" t="str">
        <f t="shared" si="4"/>
        <v/>
      </c>
      <c r="O97" s="1"/>
      <c r="P97" s="1"/>
      <c r="Q97" s="1"/>
      <c r="R97" s="1"/>
    </row>
    <row r="98" ht="24.75" customHeight="1">
      <c r="A98" s="1"/>
      <c r="B98" s="1" t="str">
        <f>IF(OR(Movimientos!B98="",Movimientos!B98=""),"",Movimientos!B98)</f>
        <v/>
      </c>
      <c r="C98" s="36" t="str">
        <f>IF(OR(Movimientos!B98="",Movimientos!C98=""),"",Movimientos!C98)</f>
        <v/>
      </c>
      <c r="D98" s="1" t="str">
        <f>IF(OR(Movimientos!B98="",Movimientos!D98=""),"",Movimientos!D98)</f>
        <v/>
      </c>
      <c r="E98" s="1" t="str">
        <f>IF(OR(Movimientos!B98="",Movimientos!F98=""),"",Movimientos!F98)</f>
        <v/>
      </c>
      <c r="F98" s="1" t="str">
        <f t="array" ref="F98">IF(E98="","",INDEX('Configuración'!$D$15:$D$134,MATCH(E98,'Configuración'!$E$15:$E$134,0)))</f>
        <v/>
      </c>
      <c r="G98" s="1" t="str">
        <f>IF(OR(Movimientos!B98="",Movimientos!G98=""),"",Movimientos!G98)</f>
        <v/>
      </c>
      <c r="H98" s="1" t="str">
        <f>IF(OR(Movimientos!B98="",Movimientos!H98=""),"",Movimientos!H98)</f>
        <v/>
      </c>
      <c r="I98" s="54" t="str">
        <f>IF(OR(Movimientos!B98="",Movimientos!I98=""),"",Movimientos!I98)</f>
        <v/>
      </c>
      <c r="J98" s="54" t="str">
        <f>IF(OR(Movimientos!B98="",Movimientos!J98=""),"",Movimientos!J98)</f>
        <v/>
      </c>
      <c r="K98" s="54" t="str">
        <f t="shared" si="1"/>
        <v/>
      </c>
      <c r="L98" s="54" t="str">
        <f t="shared" si="2"/>
        <v/>
      </c>
      <c r="M98" s="54" t="str">
        <f t="shared" si="3"/>
        <v/>
      </c>
      <c r="N98" s="1" t="str">
        <f t="shared" si="4"/>
        <v/>
      </c>
      <c r="O98" s="1"/>
      <c r="P98" s="1"/>
      <c r="Q98" s="1"/>
      <c r="R98" s="1"/>
    </row>
    <row r="99" ht="24.75" customHeight="1">
      <c r="A99" s="1"/>
      <c r="B99" s="1" t="str">
        <f>IF(OR(Movimientos!B99="",Movimientos!B99=""),"",Movimientos!B99)</f>
        <v/>
      </c>
      <c r="C99" s="36" t="str">
        <f>IF(OR(Movimientos!B99="",Movimientos!C99=""),"",Movimientos!C99)</f>
        <v/>
      </c>
      <c r="D99" s="1" t="str">
        <f>IF(OR(Movimientos!B99="",Movimientos!D99=""),"",Movimientos!D99)</f>
        <v/>
      </c>
      <c r="E99" s="1" t="str">
        <f>IF(OR(Movimientos!B99="",Movimientos!F99=""),"",Movimientos!F99)</f>
        <v/>
      </c>
      <c r="F99" s="1" t="str">
        <f t="array" ref="F99">IF(E99="","",INDEX('Configuración'!$D$15:$D$134,MATCH(E99,'Configuración'!$E$15:$E$134,0)))</f>
        <v/>
      </c>
      <c r="G99" s="1" t="str">
        <f>IF(OR(Movimientos!B99="",Movimientos!G99=""),"",Movimientos!G99)</f>
        <v/>
      </c>
      <c r="H99" s="1" t="str">
        <f>IF(OR(Movimientos!B99="",Movimientos!H99=""),"",Movimientos!H99)</f>
        <v/>
      </c>
      <c r="I99" s="54" t="str">
        <f>IF(OR(Movimientos!B99="",Movimientos!I99=""),"",Movimientos!I99)</f>
        <v/>
      </c>
      <c r="J99" s="54" t="str">
        <f>IF(OR(Movimientos!B99="",Movimientos!J99=""),"",Movimientos!J99)</f>
        <v/>
      </c>
      <c r="K99" s="54" t="str">
        <f t="shared" si="1"/>
        <v/>
      </c>
      <c r="L99" s="54" t="str">
        <f t="shared" si="2"/>
        <v/>
      </c>
      <c r="M99" s="54" t="str">
        <f t="shared" si="3"/>
        <v/>
      </c>
      <c r="N99" s="1" t="str">
        <f t="shared" si="4"/>
        <v/>
      </c>
      <c r="O99" s="1"/>
      <c r="P99" s="1"/>
      <c r="Q99" s="1"/>
      <c r="R99" s="1"/>
    </row>
    <row r="100" ht="24.75" customHeight="1">
      <c r="A100" s="1"/>
      <c r="B100" s="1" t="str">
        <f>IF(OR(Movimientos!B100="",Movimientos!B100=""),"",Movimientos!B100)</f>
        <v/>
      </c>
      <c r="C100" s="36" t="str">
        <f>IF(OR(Movimientos!B100="",Movimientos!C100=""),"",Movimientos!C100)</f>
        <v/>
      </c>
      <c r="D100" s="1" t="str">
        <f>IF(OR(Movimientos!B100="",Movimientos!D100=""),"",Movimientos!D100)</f>
        <v/>
      </c>
      <c r="E100" s="1" t="str">
        <f>IF(OR(Movimientos!B100="",Movimientos!F100=""),"",Movimientos!F100)</f>
        <v/>
      </c>
      <c r="F100" s="1" t="str">
        <f t="array" ref="F100">IF(E100="","",INDEX('Configuración'!$D$15:$D$134,MATCH(E100,'Configuración'!$E$15:$E$134,0)))</f>
        <v/>
      </c>
      <c r="G100" s="1" t="str">
        <f>IF(OR(Movimientos!B100="",Movimientos!G100=""),"",Movimientos!G100)</f>
        <v/>
      </c>
      <c r="H100" s="1" t="str">
        <f>IF(OR(Movimientos!B100="",Movimientos!H100=""),"",Movimientos!H100)</f>
        <v/>
      </c>
      <c r="I100" s="54" t="str">
        <f>IF(OR(Movimientos!B100="",Movimientos!I100=""),"",Movimientos!I100)</f>
        <v/>
      </c>
      <c r="J100" s="54" t="str">
        <f>IF(OR(Movimientos!B100="",Movimientos!J100=""),"",Movimientos!J100)</f>
        <v/>
      </c>
      <c r="K100" s="54" t="str">
        <f t="shared" si="1"/>
        <v/>
      </c>
      <c r="L100" s="54" t="str">
        <f t="shared" si="2"/>
        <v/>
      </c>
      <c r="M100" s="54" t="str">
        <f t="shared" si="3"/>
        <v/>
      </c>
      <c r="N100" s="1" t="str">
        <f t="shared" si="4"/>
        <v/>
      </c>
      <c r="O100" s="1"/>
      <c r="P100" s="1"/>
      <c r="Q100" s="1"/>
      <c r="R100" s="1"/>
    </row>
    <row r="101" ht="24.75" customHeight="1">
      <c r="A101" s="1"/>
      <c r="B101" s="1" t="str">
        <f>IF(OR(Movimientos!B101="",Movimientos!B101=""),"",Movimientos!B101)</f>
        <v/>
      </c>
      <c r="C101" s="36" t="str">
        <f>IF(OR(Movimientos!B101="",Movimientos!C101=""),"",Movimientos!C101)</f>
        <v/>
      </c>
      <c r="D101" s="1" t="str">
        <f>IF(OR(Movimientos!B101="",Movimientos!D101=""),"",Movimientos!D101)</f>
        <v/>
      </c>
      <c r="E101" s="1" t="str">
        <f>IF(OR(Movimientos!B101="",Movimientos!F101=""),"",Movimientos!F101)</f>
        <v/>
      </c>
      <c r="F101" s="1" t="str">
        <f t="array" ref="F101">IF(E101="","",INDEX('Configuración'!$D$15:$D$134,MATCH(E101,'Configuración'!$E$15:$E$134,0)))</f>
        <v/>
      </c>
      <c r="G101" s="1" t="str">
        <f>IF(OR(Movimientos!B101="",Movimientos!G101=""),"",Movimientos!G101)</f>
        <v/>
      </c>
      <c r="H101" s="1" t="str">
        <f>IF(OR(Movimientos!B101="",Movimientos!H101=""),"",Movimientos!H101)</f>
        <v/>
      </c>
      <c r="I101" s="54" t="str">
        <f>IF(OR(Movimientos!B101="",Movimientos!I101=""),"",Movimientos!I101)</f>
        <v/>
      </c>
      <c r="J101" s="54" t="str">
        <f>IF(OR(Movimientos!B101="",Movimientos!J101=""),"",Movimientos!J101)</f>
        <v/>
      </c>
      <c r="K101" s="54" t="str">
        <f t="shared" si="1"/>
        <v/>
      </c>
      <c r="L101" s="54" t="str">
        <f t="shared" si="2"/>
        <v/>
      </c>
      <c r="M101" s="54" t="str">
        <f t="shared" si="3"/>
        <v/>
      </c>
      <c r="N101" s="1" t="str">
        <f t="shared" si="4"/>
        <v/>
      </c>
      <c r="O101" s="1"/>
      <c r="P101" s="1"/>
      <c r="Q101" s="1"/>
      <c r="R101" s="1"/>
    </row>
    <row r="102" ht="24.75" customHeight="1">
      <c r="A102" s="1"/>
      <c r="B102" s="1" t="str">
        <f>IF(OR(Movimientos!B102="",Movimientos!B102=""),"",Movimientos!B102)</f>
        <v/>
      </c>
      <c r="C102" s="36" t="str">
        <f>IF(OR(Movimientos!B102="",Movimientos!C102=""),"",Movimientos!C102)</f>
        <v/>
      </c>
      <c r="D102" s="1" t="str">
        <f>IF(OR(Movimientos!B102="",Movimientos!D102=""),"",Movimientos!D102)</f>
        <v/>
      </c>
      <c r="E102" s="1" t="str">
        <f>IF(OR(Movimientos!B102="",Movimientos!F102=""),"",Movimientos!F102)</f>
        <v/>
      </c>
      <c r="F102" s="1" t="str">
        <f t="array" ref="F102">IF(E102="","",INDEX('Configuración'!$D$15:$D$134,MATCH(E102,'Configuración'!$E$15:$E$134,0)))</f>
        <v/>
      </c>
      <c r="G102" s="1" t="str">
        <f>IF(OR(Movimientos!B102="",Movimientos!G102=""),"",Movimientos!G102)</f>
        <v/>
      </c>
      <c r="H102" s="1" t="str">
        <f>IF(OR(Movimientos!B102="",Movimientos!H102=""),"",Movimientos!H102)</f>
        <v/>
      </c>
      <c r="I102" s="54" t="str">
        <f>IF(OR(Movimientos!B102="",Movimientos!I102=""),"",Movimientos!I102)</f>
        <v/>
      </c>
      <c r="J102" s="54" t="str">
        <f>IF(OR(Movimientos!B102="",Movimientos!J102=""),"",Movimientos!J102)</f>
        <v/>
      </c>
      <c r="K102" s="54" t="str">
        <f t="shared" si="1"/>
        <v/>
      </c>
      <c r="L102" s="54" t="str">
        <f t="shared" si="2"/>
        <v/>
      </c>
      <c r="M102" s="54" t="str">
        <f t="shared" si="3"/>
        <v/>
      </c>
      <c r="N102" s="1" t="str">
        <f t="shared" si="4"/>
        <v/>
      </c>
      <c r="O102" s="1"/>
      <c r="P102" s="1"/>
      <c r="Q102" s="1"/>
      <c r="R102" s="1"/>
    </row>
    <row r="103" ht="24.75" customHeight="1">
      <c r="A103" s="1"/>
      <c r="B103" s="1" t="str">
        <f>IF(OR(Movimientos!B103="",Movimientos!B103=""),"",Movimientos!B103)</f>
        <v/>
      </c>
      <c r="C103" s="36" t="str">
        <f>IF(OR(Movimientos!B103="",Movimientos!C103=""),"",Movimientos!C103)</f>
        <v/>
      </c>
      <c r="D103" s="1" t="str">
        <f>IF(OR(Movimientos!B103="",Movimientos!D103=""),"",Movimientos!D103)</f>
        <v/>
      </c>
      <c r="E103" s="1" t="str">
        <f>IF(OR(Movimientos!B103="",Movimientos!F103=""),"",Movimientos!F103)</f>
        <v/>
      </c>
      <c r="F103" s="1" t="str">
        <f t="array" ref="F103">IF(E103="","",INDEX('Configuración'!$D$15:$D$134,MATCH(E103,'Configuración'!$E$15:$E$134,0)))</f>
        <v/>
      </c>
      <c r="G103" s="1" t="str">
        <f>IF(OR(Movimientos!B103="",Movimientos!G103=""),"",Movimientos!G103)</f>
        <v/>
      </c>
      <c r="H103" s="1" t="str">
        <f>IF(OR(Movimientos!B103="",Movimientos!H103=""),"",Movimientos!H103)</f>
        <v/>
      </c>
      <c r="I103" s="54" t="str">
        <f>IF(OR(Movimientos!B103="",Movimientos!I103=""),"",Movimientos!I103)</f>
        <v/>
      </c>
      <c r="J103" s="54" t="str">
        <f>IF(OR(Movimientos!B103="",Movimientos!J103=""),"",Movimientos!J103)</f>
        <v/>
      </c>
      <c r="K103" s="54" t="str">
        <f t="shared" si="1"/>
        <v/>
      </c>
      <c r="L103" s="54" t="str">
        <f t="shared" si="2"/>
        <v/>
      </c>
      <c r="M103" s="54" t="str">
        <f t="shared" si="3"/>
        <v/>
      </c>
      <c r="N103" s="1" t="str">
        <f t="shared" si="4"/>
        <v/>
      </c>
      <c r="O103" s="1"/>
      <c r="P103" s="1"/>
      <c r="Q103" s="1"/>
      <c r="R103" s="1"/>
    </row>
    <row r="104" ht="24.75" customHeight="1">
      <c r="A104" s="1"/>
      <c r="B104" s="1" t="str">
        <f>IF(OR(Movimientos!B104="",Movimientos!B104=""),"",Movimientos!B104)</f>
        <v/>
      </c>
      <c r="C104" s="36" t="str">
        <f>IF(OR(Movimientos!B104="",Movimientos!C104=""),"",Movimientos!C104)</f>
        <v/>
      </c>
      <c r="D104" s="1" t="str">
        <f>IF(OR(Movimientos!B104="",Movimientos!D104=""),"",Movimientos!D104)</f>
        <v/>
      </c>
      <c r="E104" s="1" t="str">
        <f>IF(OR(Movimientos!B104="",Movimientos!F104=""),"",Movimientos!F104)</f>
        <v/>
      </c>
      <c r="F104" s="1" t="str">
        <f t="array" ref="F104">IF(E104="","",INDEX('Configuración'!$D$15:$D$134,MATCH(E104,'Configuración'!$E$15:$E$134,0)))</f>
        <v/>
      </c>
      <c r="G104" s="1" t="str">
        <f>IF(OR(Movimientos!B104="",Movimientos!G104=""),"",Movimientos!G104)</f>
        <v/>
      </c>
      <c r="H104" s="1" t="str">
        <f>IF(OR(Movimientos!B104="",Movimientos!H104=""),"",Movimientos!H104)</f>
        <v/>
      </c>
      <c r="I104" s="54" t="str">
        <f>IF(OR(Movimientos!B104="",Movimientos!I104=""),"",Movimientos!I104)</f>
        <v/>
      </c>
      <c r="J104" s="54" t="str">
        <f>IF(OR(Movimientos!B104="",Movimientos!J104=""),"",Movimientos!J104)</f>
        <v/>
      </c>
      <c r="K104" s="54" t="str">
        <f t="shared" si="1"/>
        <v/>
      </c>
      <c r="L104" s="54" t="str">
        <f t="shared" si="2"/>
        <v/>
      </c>
      <c r="M104" s="54" t="str">
        <f t="shared" si="3"/>
        <v/>
      </c>
      <c r="N104" s="1" t="str">
        <f t="shared" si="4"/>
        <v/>
      </c>
      <c r="O104" s="1"/>
      <c r="P104" s="1"/>
      <c r="Q104" s="1"/>
      <c r="R104" s="1"/>
    </row>
    <row r="105" ht="24.75" customHeight="1">
      <c r="A105" s="1"/>
      <c r="B105" s="1" t="str">
        <f>IF(OR(Movimientos!B105="",Movimientos!B105=""),"",Movimientos!B105)</f>
        <v/>
      </c>
      <c r="C105" s="36" t="str">
        <f>IF(OR(Movimientos!B105="",Movimientos!C105=""),"",Movimientos!C105)</f>
        <v/>
      </c>
      <c r="D105" s="1" t="str">
        <f>IF(OR(Movimientos!B105="",Movimientos!D105=""),"",Movimientos!D105)</f>
        <v/>
      </c>
      <c r="E105" s="1" t="str">
        <f>IF(OR(Movimientos!B105="",Movimientos!F105=""),"",Movimientos!F105)</f>
        <v/>
      </c>
      <c r="F105" s="1" t="str">
        <f t="array" ref="F105">IF(E105="","",INDEX('Configuración'!$D$15:$D$134,MATCH(E105,'Configuración'!$E$15:$E$134,0)))</f>
        <v/>
      </c>
      <c r="G105" s="1" t="str">
        <f>IF(OR(Movimientos!B105="",Movimientos!G105=""),"",Movimientos!G105)</f>
        <v/>
      </c>
      <c r="H105" s="1" t="str">
        <f>IF(OR(Movimientos!B105="",Movimientos!H105=""),"",Movimientos!H105)</f>
        <v/>
      </c>
      <c r="I105" s="54" t="str">
        <f>IF(OR(Movimientos!B105="",Movimientos!I105=""),"",Movimientos!I105)</f>
        <v/>
      </c>
      <c r="J105" s="54" t="str">
        <f>IF(OR(Movimientos!B105="",Movimientos!J105=""),"",Movimientos!J105)</f>
        <v/>
      </c>
      <c r="K105" s="54" t="str">
        <f t="shared" si="1"/>
        <v/>
      </c>
      <c r="L105" s="54" t="str">
        <f t="shared" si="2"/>
        <v/>
      </c>
      <c r="M105" s="54" t="str">
        <f t="shared" si="3"/>
        <v/>
      </c>
      <c r="N105" s="1" t="str">
        <f t="shared" si="4"/>
        <v/>
      </c>
      <c r="O105" s="1"/>
      <c r="P105" s="1"/>
      <c r="Q105" s="1"/>
      <c r="R105" s="1"/>
    </row>
    <row r="106" ht="24.75" customHeight="1">
      <c r="A106" s="1"/>
      <c r="B106" s="1" t="str">
        <f>IF(OR(Movimientos!B106="",Movimientos!B106=""),"",Movimientos!B106)</f>
        <v/>
      </c>
      <c r="C106" s="36" t="str">
        <f>IF(OR(Movimientos!B106="",Movimientos!C106=""),"",Movimientos!C106)</f>
        <v/>
      </c>
      <c r="D106" s="1" t="str">
        <f>IF(OR(Movimientos!B106="",Movimientos!D106=""),"",Movimientos!D106)</f>
        <v/>
      </c>
      <c r="E106" s="1" t="str">
        <f>IF(OR(Movimientos!B106="",Movimientos!F106=""),"",Movimientos!F106)</f>
        <v/>
      </c>
      <c r="F106" s="1" t="str">
        <f t="array" ref="F106">IF(E106="","",INDEX('Configuración'!$D$15:$D$134,MATCH(E106,'Configuración'!$E$15:$E$134,0)))</f>
        <v/>
      </c>
      <c r="G106" s="1" t="str">
        <f>IF(OR(Movimientos!B106="",Movimientos!G106=""),"",Movimientos!G106)</f>
        <v/>
      </c>
      <c r="H106" s="1" t="str">
        <f>IF(OR(Movimientos!B106="",Movimientos!H106=""),"",Movimientos!H106)</f>
        <v/>
      </c>
      <c r="I106" s="54" t="str">
        <f>IF(OR(Movimientos!B106="",Movimientos!I106=""),"",Movimientos!I106)</f>
        <v/>
      </c>
      <c r="J106" s="54" t="str">
        <f>IF(OR(Movimientos!B106="",Movimientos!J106=""),"",Movimientos!J106)</f>
        <v/>
      </c>
      <c r="K106" s="54" t="str">
        <f t="shared" si="1"/>
        <v/>
      </c>
      <c r="L106" s="54" t="str">
        <f t="shared" si="2"/>
        <v/>
      </c>
      <c r="M106" s="54" t="str">
        <f t="shared" si="3"/>
        <v/>
      </c>
      <c r="N106" s="1" t="str">
        <f t="shared" si="4"/>
        <v/>
      </c>
      <c r="O106" s="1"/>
      <c r="P106" s="1"/>
      <c r="Q106" s="1"/>
      <c r="R106" s="1"/>
    </row>
    <row r="107" ht="24.75" customHeight="1">
      <c r="A107" s="1"/>
      <c r="B107" s="1" t="str">
        <f>IF(OR(Movimientos!B107="",Movimientos!B107=""),"",Movimientos!B107)</f>
        <v/>
      </c>
      <c r="C107" s="36" t="str">
        <f>IF(OR(Movimientos!B107="",Movimientos!C107=""),"",Movimientos!C107)</f>
        <v/>
      </c>
      <c r="D107" s="1" t="str">
        <f>IF(OR(Movimientos!B107="",Movimientos!D107=""),"",Movimientos!D107)</f>
        <v/>
      </c>
      <c r="E107" s="1" t="str">
        <f>IF(OR(Movimientos!B107="",Movimientos!F107=""),"",Movimientos!F107)</f>
        <v/>
      </c>
      <c r="F107" s="1" t="str">
        <f t="array" ref="F107">IF(E107="","",INDEX('Configuración'!$D$15:$D$134,MATCH(E107,'Configuración'!$E$15:$E$134,0)))</f>
        <v/>
      </c>
      <c r="G107" s="1" t="str">
        <f>IF(OR(Movimientos!B107="",Movimientos!G107=""),"",Movimientos!G107)</f>
        <v/>
      </c>
      <c r="H107" s="1" t="str">
        <f>IF(OR(Movimientos!B107="",Movimientos!H107=""),"",Movimientos!H107)</f>
        <v/>
      </c>
      <c r="I107" s="54" t="str">
        <f>IF(OR(Movimientos!B107="",Movimientos!I107=""),"",Movimientos!I107)</f>
        <v/>
      </c>
      <c r="J107" s="54" t="str">
        <f>IF(OR(Movimientos!B107="",Movimientos!J107=""),"",Movimientos!J107)</f>
        <v/>
      </c>
      <c r="K107" s="54" t="str">
        <f t="shared" si="1"/>
        <v/>
      </c>
      <c r="L107" s="54" t="str">
        <f t="shared" si="2"/>
        <v/>
      </c>
      <c r="M107" s="54" t="str">
        <f t="shared" si="3"/>
        <v/>
      </c>
      <c r="N107" s="1" t="str">
        <f t="shared" si="4"/>
        <v/>
      </c>
      <c r="O107" s="1"/>
      <c r="P107" s="1"/>
      <c r="Q107" s="1"/>
      <c r="R107" s="1"/>
    </row>
    <row r="108" ht="24.75" customHeight="1">
      <c r="A108" s="1"/>
      <c r="B108" s="1" t="str">
        <f>IF(OR(Movimientos!B108="",Movimientos!B108=""),"",Movimientos!B108)</f>
        <v/>
      </c>
      <c r="C108" s="36" t="str">
        <f>IF(OR(Movimientos!B108="",Movimientos!C108=""),"",Movimientos!C108)</f>
        <v/>
      </c>
      <c r="D108" s="1" t="str">
        <f>IF(OR(Movimientos!B108="",Movimientos!D108=""),"",Movimientos!D108)</f>
        <v/>
      </c>
      <c r="E108" s="1" t="str">
        <f>IF(OR(Movimientos!B108="",Movimientos!F108=""),"",Movimientos!F108)</f>
        <v/>
      </c>
      <c r="F108" s="1" t="str">
        <f t="array" ref="F108">IF(E108="","",INDEX('Configuración'!$D$15:$D$134,MATCH(E108,'Configuración'!$E$15:$E$134,0)))</f>
        <v/>
      </c>
      <c r="G108" s="1" t="str">
        <f>IF(OR(Movimientos!B108="",Movimientos!G108=""),"",Movimientos!G108)</f>
        <v/>
      </c>
      <c r="H108" s="1" t="str">
        <f>IF(OR(Movimientos!B108="",Movimientos!H108=""),"",Movimientos!H108)</f>
        <v/>
      </c>
      <c r="I108" s="54" t="str">
        <f>IF(OR(Movimientos!B108="",Movimientos!I108=""),"",Movimientos!I108)</f>
        <v/>
      </c>
      <c r="J108" s="54" t="str">
        <f>IF(OR(Movimientos!B108="",Movimientos!J108=""),"",Movimientos!J108)</f>
        <v/>
      </c>
      <c r="K108" s="54" t="str">
        <f t="shared" si="1"/>
        <v/>
      </c>
      <c r="L108" s="54" t="str">
        <f t="shared" si="2"/>
        <v/>
      </c>
      <c r="M108" s="54" t="str">
        <f t="shared" si="3"/>
        <v/>
      </c>
      <c r="N108" s="1" t="str">
        <f t="shared" si="4"/>
        <v/>
      </c>
      <c r="O108" s="1"/>
      <c r="P108" s="1"/>
      <c r="Q108" s="1"/>
      <c r="R108" s="1"/>
    </row>
    <row r="109" ht="24.75" customHeight="1">
      <c r="A109" s="1"/>
      <c r="B109" s="1" t="str">
        <f>IF(OR(Movimientos!B109="",Movimientos!B109=""),"",Movimientos!B109)</f>
        <v/>
      </c>
      <c r="C109" s="36" t="str">
        <f>IF(OR(Movimientos!B109="",Movimientos!C109=""),"",Movimientos!C109)</f>
        <v/>
      </c>
      <c r="D109" s="1" t="str">
        <f>IF(OR(Movimientos!B109="",Movimientos!D109=""),"",Movimientos!D109)</f>
        <v/>
      </c>
      <c r="E109" s="1" t="str">
        <f>IF(OR(Movimientos!B109="",Movimientos!F109=""),"",Movimientos!F109)</f>
        <v/>
      </c>
      <c r="F109" s="1" t="str">
        <f t="array" ref="F109">IF(E109="","",INDEX('Configuración'!$D$15:$D$134,MATCH(E109,'Configuración'!$E$15:$E$134,0)))</f>
        <v/>
      </c>
      <c r="G109" s="1" t="str">
        <f>IF(OR(Movimientos!B109="",Movimientos!G109=""),"",Movimientos!G109)</f>
        <v/>
      </c>
      <c r="H109" s="1" t="str">
        <f>IF(OR(Movimientos!B109="",Movimientos!H109=""),"",Movimientos!H109)</f>
        <v/>
      </c>
      <c r="I109" s="54" t="str">
        <f>IF(OR(Movimientos!B109="",Movimientos!I109=""),"",Movimientos!I109)</f>
        <v/>
      </c>
      <c r="J109" s="54" t="str">
        <f>IF(OR(Movimientos!B109="",Movimientos!J109=""),"",Movimientos!J109)</f>
        <v/>
      </c>
      <c r="K109" s="54" t="str">
        <f t="shared" si="1"/>
        <v/>
      </c>
      <c r="L109" s="54" t="str">
        <f t="shared" si="2"/>
        <v/>
      </c>
      <c r="M109" s="54" t="str">
        <f t="shared" si="3"/>
        <v/>
      </c>
      <c r="N109" s="1" t="str">
        <f t="shared" si="4"/>
        <v/>
      </c>
      <c r="O109" s="1"/>
      <c r="P109" s="1"/>
      <c r="Q109" s="1"/>
      <c r="R109" s="1"/>
    </row>
    <row r="110" ht="24.75" customHeight="1">
      <c r="A110" s="1"/>
      <c r="B110" s="1" t="str">
        <f>IF(OR(Movimientos!B110="",Movimientos!B110=""),"",Movimientos!B110)</f>
        <v/>
      </c>
      <c r="C110" s="36" t="str">
        <f>IF(OR(Movimientos!B110="",Movimientos!C110=""),"",Movimientos!C110)</f>
        <v/>
      </c>
      <c r="D110" s="1" t="str">
        <f>IF(OR(Movimientos!B110="",Movimientos!D110=""),"",Movimientos!D110)</f>
        <v/>
      </c>
      <c r="E110" s="1" t="str">
        <f>IF(OR(Movimientos!B110="",Movimientos!F110=""),"",Movimientos!F110)</f>
        <v/>
      </c>
      <c r="F110" s="1" t="str">
        <f t="array" ref="F110">IF(E110="","",INDEX('Configuración'!$D$15:$D$134,MATCH(E110,'Configuración'!$E$15:$E$134,0)))</f>
        <v/>
      </c>
      <c r="G110" s="1" t="str">
        <f>IF(OR(Movimientos!B110="",Movimientos!G110=""),"",Movimientos!G110)</f>
        <v/>
      </c>
      <c r="H110" s="1" t="str">
        <f>IF(OR(Movimientos!B110="",Movimientos!H110=""),"",Movimientos!H110)</f>
        <v/>
      </c>
      <c r="I110" s="54" t="str">
        <f>IF(OR(Movimientos!B110="",Movimientos!I110=""),"",Movimientos!I110)</f>
        <v/>
      </c>
      <c r="J110" s="54" t="str">
        <f>IF(OR(Movimientos!B110="",Movimientos!J110=""),"",Movimientos!J110)</f>
        <v/>
      </c>
      <c r="K110" s="54" t="str">
        <f t="shared" si="1"/>
        <v/>
      </c>
      <c r="L110" s="54" t="str">
        <f t="shared" si="2"/>
        <v/>
      </c>
      <c r="M110" s="54" t="str">
        <f t="shared" si="3"/>
        <v/>
      </c>
      <c r="N110" s="1" t="str">
        <f t="shared" si="4"/>
        <v/>
      </c>
      <c r="O110" s="1"/>
      <c r="P110" s="1"/>
      <c r="Q110" s="1"/>
      <c r="R110" s="1"/>
    </row>
    <row r="111" ht="24.75" customHeight="1">
      <c r="A111" s="1"/>
      <c r="B111" s="1" t="str">
        <f>IF(OR(Movimientos!B111="",Movimientos!B111=""),"",Movimientos!B111)</f>
        <v/>
      </c>
      <c r="C111" s="36" t="str">
        <f>IF(OR(Movimientos!B111="",Movimientos!C111=""),"",Movimientos!C111)</f>
        <v/>
      </c>
      <c r="D111" s="1" t="str">
        <f>IF(OR(Movimientos!B111="",Movimientos!D111=""),"",Movimientos!D111)</f>
        <v/>
      </c>
      <c r="E111" s="1" t="str">
        <f>IF(OR(Movimientos!B111="",Movimientos!F111=""),"",Movimientos!F111)</f>
        <v/>
      </c>
      <c r="F111" s="1" t="str">
        <f t="array" ref="F111">IF(E111="","",INDEX('Configuración'!$D$15:$D$134,MATCH(E111,'Configuración'!$E$15:$E$134,0)))</f>
        <v/>
      </c>
      <c r="G111" s="1" t="str">
        <f>IF(OR(Movimientos!B111="",Movimientos!G111=""),"",Movimientos!G111)</f>
        <v/>
      </c>
      <c r="H111" s="1" t="str">
        <f>IF(OR(Movimientos!B111="",Movimientos!H111=""),"",Movimientos!H111)</f>
        <v/>
      </c>
      <c r="I111" s="54" t="str">
        <f>IF(OR(Movimientos!B111="",Movimientos!I111=""),"",Movimientos!I111)</f>
        <v/>
      </c>
      <c r="J111" s="54" t="str">
        <f>IF(OR(Movimientos!B111="",Movimientos!J111=""),"",Movimientos!J111)</f>
        <v/>
      </c>
      <c r="K111" s="54" t="str">
        <f t="shared" si="1"/>
        <v/>
      </c>
      <c r="L111" s="54" t="str">
        <f t="shared" si="2"/>
        <v/>
      </c>
      <c r="M111" s="54" t="str">
        <f t="shared" si="3"/>
        <v/>
      </c>
      <c r="N111" s="1" t="str">
        <f t="shared" si="4"/>
        <v/>
      </c>
      <c r="O111" s="1"/>
      <c r="P111" s="1"/>
      <c r="Q111" s="1"/>
      <c r="R111" s="1"/>
    </row>
    <row r="112" ht="24.75" customHeight="1">
      <c r="A112" s="1"/>
      <c r="B112" s="1" t="str">
        <f>IF(OR(Movimientos!B112="",Movimientos!B112=""),"",Movimientos!B112)</f>
        <v/>
      </c>
      <c r="C112" s="36" t="str">
        <f>IF(OR(Movimientos!B112="",Movimientos!C112=""),"",Movimientos!C112)</f>
        <v/>
      </c>
      <c r="D112" s="1" t="str">
        <f>IF(OR(Movimientos!B112="",Movimientos!D112=""),"",Movimientos!D112)</f>
        <v/>
      </c>
      <c r="E112" s="1" t="str">
        <f>IF(OR(Movimientos!B112="",Movimientos!F112=""),"",Movimientos!F112)</f>
        <v/>
      </c>
      <c r="F112" s="1" t="str">
        <f t="array" ref="F112">IF(E112="","",INDEX('Configuración'!$D$15:$D$134,MATCH(E112,'Configuración'!$E$15:$E$134,0)))</f>
        <v/>
      </c>
      <c r="G112" s="1" t="str">
        <f>IF(OR(Movimientos!B112="",Movimientos!G112=""),"",Movimientos!G112)</f>
        <v/>
      </c>
      <c r="H112" s="1" t="str">
        <f>IF(OR(Movimientos!B112="",Movimientos!H112=""),"",Movimientos!H112)</f>
        <v/>
      </c>
      <c r="I112" s="54" t="str">
        <f>IF(OR(Movimientos!B112="",Movimientos!I112=""),"",Movimientos!I112)</f>
        <v/>
      </c>
      <c r="J112" s="54" t="str">
        <f>IF(OR(Movimientos!B112="",Movimientos!J112=""),"",Movimientos!J112)</f>
        <v/>
      </c>
      <c r="K112" s="54" t="str">
        <f t="shared" si="1"/>
        <v/>
      </c>
      <c r="L112" s="54" t="str">
        <f t="shared" si="2"/>
        <v/>
      </c>
      <c r="M112" s="54" t="str">
        <f t="shared" si="3"/>
        <v/>
      </c>
      <c r="N112" s="1" t="str">
        <f t="shared" si="4"/>
        <v/>
      </c>
      <c r="O112" s="1"/>
      <c r="P112" s="1"/>
      <c r="Q112" s="1"/>
      <c r="R112" s="1"/>
    </row>
    <row r="113" ht="24.75" customHeight="1">
      <c r="A113" s="1"/>
      <c r="B113" s="1" t="str">
        <f>IF(OR(Movimientos!B113="",Movimientos!B113=""),"",Movimientos!B113)</f>
        <v/>
      </c>
      <c r="C113" s="36" t="str">
        <f>IF(OR(Movimientos!B113="",Movimientos!C113=""),"",Movimientos!C113)</f>
        <v/>
      </c>
      <c r="D113" s="1" t="str">
        <f>IF(OR(Movimientos!B113="",Movimientos!D113=""),"",Movimientos!D113)</f>
        <v/>
      </c>
      <c r="E113" s="1" t="str">
        <f>IF(OR(Movimientos!B113="",Movimientos!F113=""),"",Movimientos!F113)</f>
        <v/>
      </c>
      <c r="F113" s="1" t="str">
        <f t="array" ref="F113">IF(E113="","",INDEX('Configuración'!$D$15:$D$134,MATCH(E113,'Configuración'!$E$15:$E$134,0)))</f>
        <v/>
      </c>
      <c r="G113" s="1" t="str">
        <f>IF(OR(Movimientos!B113="",Movimientos!G113=""),"",Movimientos!G113)</f>
        <v/>
      </c>
      <c r="H113" s="1" t="str">
        <f>IF(OR(Movimientos!B113="",Movimientos!H113=""),"",Movimientos!H113)</f>
        <v/>
      </c>
      <c r="I113" s="54" t="str">
        <f>IF(OR(Movimientos!B113="",Movimientos!I113=""),"",Movimientos!I113)</f>
        <v/>
      </c>
      <c r="J113" s="54" t="str">
        <f>IF(OR(Movimientos!B113="",Movimientos!J113=""),"",Movimientos!J113)</f>
        <v/>
      </c>
      <c r="K113" s="54" t="str">
        <f t="shared" si="1"/>
        <v/>
      </c>
      <c r="L113" s="54" t="str">
        <f t="shared" si="2"/>
        <v/>
      </c>
      <c r="M113" s="54" t="str">
        <f t="shared" si="3"/>
        <v/>
      </c>
      <c r="N113" s="1" t="str">
        <f t="shared" si="4"/>
        <v/>
      </c>
      <c r="O113" s="1"/>
      <c r="P113" s="1"/>
      <c r="Q113" s="1"/>
      <c r="R113" s="1"/>
    </row>
    <row r="114" ht="24.75" customHeight="1">
      <c r="A114" s="1"/>
      <c r="B114" s="1" t="str">
        <f>IF(OR(Movimientos!B114="",Movimientos!B114=""),"",Movimientos!B114)</f>
        <v/>
      </c>
      <c r="C114" s="36" t="str">
        <f>IF(OR(Movimientos!B114="",Movimientos!C114=""),"",Movimientos!C114)</f>
        <v/>
      </c>
      <c r="D114" s="1" t="str">
        <f>IF(OR(Movimientos!B114="",Movimientos!D114=""),"",Movimientos!D114)</f>
        <v/>
      </c>
      <c r="E114" s="1" t="str">
        <f>IF(OR(Movimientos!B114="",Movimientos!F114=""),"",Movimientos!F114)</f>
        <v/>
      </c>
      <c r="F114" s="1" t="str">
        <f t="array" ref="F114">IF(E114="","",INDEX('Configuración'!$D$15:$D$134,MATCH(E114,'Configuración'!$E$15:$E$134,0)))</f>
        <v/>
      </c>
      <c r="G114" s="1" t="str">
        <f>IF(OR(Movimientos!B114="",Movimientos!G114=""),"",Movimientos!G114)</f>
        <v/>
      </c>
      <c r="H114" s="1" t="str">
        <f>IF(OR(Movimientos!B114="",Movimientos!H114=""),"",Movimientos!H114)</f>
        <v/>
      </c>
      <c r="I114" s="54" t="str">
        <f>IF(OR(Movimientos!B114="",Movimientos!I114=""),"",Movimientos!I114)</f>
        <v/>
      </c>
      <c r="J114" s="54" t="str">
        <f>IF(OR(Movimientos!B114="",Movimientos!J114=""),"",Movimientos!J114)</f>
        <v/>
      </c>
      <c r="K114" s="54" t="str">
        <f t="shared" si="1"/>
        <v/>
      </c>
      <c r="L114" s="54" t="str">
        <f t="shared" si="2"/>
        <v/>
      </c>
      <c r="M114" s="54" t="str">
        <f t="shared" si="3"/>
        <v/>
      </c>
      <c r="N114" s="1" t="str">
        <f t="shared" si="4"/>
        <v/>
      </c>
      <c r="O114" s="1"/>
      <c r="P114" s="1"/>
      <c r="Q114" s="1"/>
      <c r="R114" s="1"/>
    </row>
    <row r="115" ht="24.75" customHeight="1">
      <c r="A115" s="1"/>
      <c r="B115" s="1" t="str">
        <f>IF(OR(Movimientos!B115="",Movimientos!B115=""),"",Movimientos!B115)</f>
        <v/>
      </c>
      <c r="C115" s="36" t="str">
        <f>IF(OR(Movimientos!B115="",Movimientos!C115=""),"",Movimientos!C115)</f>
        <v/>
      </c>
      <c r="D115" s="1" t="str">
        <f>IF(OR(Movimientos!B115="",Movimientos!D115=""),"",Movimientos!D115)</f>
        <v/>
      </c>
      <c r="E115" s="1" t="str">
        <f>IF(OR(Movimientos!B115="",Movimientos!F115=""),"",Movimientos!F115)</f>
        <v/>
      </c>
      <c r="F115" s="1" t="str">
        <f t="array" ref="F115">IF(E115="","",INDEX('Configuración'!$D$15:$D$134,MATCH(E115,'Configuración'!$E$15:$E$134,0)))</f>
        <v/>
      </c>
      <c r="G115" s="1" t="str">
        <f>IF(OR(Movimientos!B115="",Movimientos!G115=""),"",Movimientos!G115)</f>
        <v/>
      </c>
      <c r="H115" s="1" t="str">
        <f>IF(OR(Movimientos!B115="",Movimientos!H115=""),"",Movimientos!H115)</f>
        <v/>
      </c>
      <c r="I115" s="54" t="str">
        <f>IF(OR(Movimientos!B115="",Movimientos!I115=""),"",Movimientos!I115)</f>
        <v/>
      </c>
      <c r="J115" s="54" t="str">
        <f>IF(OR(Movimientos!B115="",Movimientos!J115=""),"",Movimientos!J115)</f>
        <v/>
      </c>
      <c r="K115" s="54" t="str">
        <f t="shared" si="1"/>
        <v/>
      </c>
      <c r="L115" s="54" t="str">
        <f t="shared" si="2"/>
        <v/>
      </c>
      <c r="M115" s="54" t="str">
        <f t="shared" si="3"/>
        <v/>
      </c>
      <c r="N115" s="1" t="str">
        <f t="shared" si="4"/>
        <v/>
      </c>
      <c r="O115" s="1"/>
      <c r="P115" s="1"/>
      <c r="Q115" s="1"/>
      <c r="R115" s="1"/>
    </row>
    <row r="116" ht="24.75" customHeight="1">
      <c r="A116" s="1"/>
      <c r="B116" s="1" t="str">
        <f>IF(OR(Movimientos!B116="",Movimientos!B116=""),"",Movimientos!B116)</f>
        <v/>
      </c>
      <c r="C116" s="36" t="str">
        <f>IF(OR(Movimientos!B116="",Movimientos!C116=""),"",Movimientos!C116)</f>
        <v/>
      </c>
      <c r="D116" s="1" t="str">
        <f>IF(OR(Movimientos!B116="",Movimientos!D116=""),"",Movimientos!D116)</f>
        <v/>
      </c>
      <c r="E116" s="1" t="str">
        <f>IF(OR(Movimientos!B116="",Movimientos!F116=""),"",Movimientos!F116)</f>
        <v/>
      </c>
      <c r="F116" s="1" t="str">
        <f t="array" ref="F116">IF(E116="","",INDEX('Configuración'!$D$15:$D$134,MATCH(E116,'Configuración'!$E$15:$E$134,0)))</f>
        <v/>
      </c>
      <c r="G116" s="1" t="str">
        <f>IF(OR(Movimientos!B116="",Movimientos!G116=""),"",Movimientos!G116)</f>
        <v/>
      </c>
      <c r="H116" s="1" t="str">
        <f>IF(OR(Movimientos!B116="",Movimientos!H116=""),"",Movimientos!H116)</f>
        <v/>
      </c>
      <c r="I116" s="54" t="str">
        <f>IF(OR(Movimientos!B116="",Movimientos!I116=""),"",Movimientos!I116)</f>
        <v/>
      </c>
      <c r="J116" s="54" t="str">
        <f>IF(OR(Movimientos!B116="",Movimientos!J116=""),"",Movimientos!J116)</f>
        <v/>
      </c>
      <c r="K116" s="54" t="str">
        <f t="shared" si="1"/>
        <v/>
      </c>
      <c r="L116" s="54" t="str">
        <f t="shared" si="2"/>
        <v/>
      </c>
      <c r="M116" s="54" t="str">
        <f t="shared" si="3"/>
        <v/>
      </c>
      <c r="N116" s="1" t="str">
        <f t="shared" si="4"/>
        <v/>
      </c>
      <c r="O116" s="1"/>
      <c r="P116" s="1"/>
      <c r="Q116" s="1"/>
      <c r="R116" s="1"/>
    </row>
    <row r="117" ht="24.75" customHeight="1">
      <c r="A117" s="1"/>
      <c r="B117" s="1" t="str">
        <f>IF(OR(Movimientos!B117="",Movimientos!B117=""),"",Movimientos!B117)</f>
        <v/>
      </c>
      <c r="C117" s="36" t="str">
        <f>IF(OR(Movimientos!B117="",Movimientos!C117=""),"",Movimientos!C117)</f>
        <v/>
      </c>
      <c r="D117" s="1" t="str">
        <f>IF(OR(Movimientos!B117="",Movimientos!D117=""),"",Movimientos!D117)</f>
        <v/>
      </c>
      <c r="E117" s="1" t="str">
        <f>IF(OR(Movimientos!B117="",Movimientos!F117=""),"",Movimientos!F117)</f>
        <v/>
      </c>
      <c r="F117" s="1" t="str">
        <f t="array" ref="F117">IF(E117="","",INDEX('Configuración'!$D$15:$D$134,MATCH(E117,'Configuración'!$E$15:$E$134,0)))</f>
        <v/>
      </c>
      <c r="G117" s="1" t="str">
        <f>IF(OR(Movimientos!B117="",Movimientos!G117=""),"",Movimientos!G117)</f>
        <v/>
      </c>
      <c r="H117" s="1" t="str">
        <f>IF(OR(Movimientos!B117="",Movimientos!H117=""),"",Movimientos!H117)</f>
        <v/>
      </c>
      <c r="I117" s="54" t="str">
        <f>IF(OR(Movimientos!B117="",Movimientos!I117=""),"",Movimientos!I117)</f>
        <v/>
      </c>
      <c r="J117" s="54" t="str">
        <f>IF(OR(Movimientos!B117="",Movimientos!J117=""),"",Movimientos!J117)</f>
        <v/>
      </c>
      <c r="K117" s="54" t="str">
        <f t="shared" si="1"/>
        <v/>
      </c>
      <c r="L117" s="54" t="str">
        <f t="shared" si="2"/>
        <v/>
      </c>
      <c r="M117" s="54" t="str">
        <f t="shared" si="3"/>
        <v/>
      </c>
      <c r="N117" s="1" t="str">
        <f t="shared" si="4"/>
        <v/>
      </c>
      <c r="O117" s="1"/>
      <c r="P117" s="1"/>
      <c r="Q117" s="1"/>
      <c r="R117" s="1"/>
    </row>
    <row r="118" ht="24.75" customHeight="1">
      <c r="A118" s="1"/>
      <c r="B118" s="1" t="str">
        <f>IF(OR(Movimientos!B118="",Movimientos!B118=""),"",Movimientos!B118)</f>
        <v/>
      </c>
      <c r="C118" s="36" t="str">
        <f>IF(OR(Movimientos!B118="",Movimientos!C118=""),"",Movimientos!C118)</f>
        <v/>
      </c>
      <c r="D118" s="1" t="str">
        <f>IF(OR(Movimientos!B118="",Movimientos!D118=""),"",Movimientos!D118)</f>
        <v/>
      </c>
      <c r="E118" s="1" t="str">
        <f>IF(OR(Movimientos!B118="",Movimientos!F118=""),"",Movimientos!F118)</f>
        <v/>
      </c>
      <c r="F118" s="1" t="str">
        <f t="array" ref="F118">IF(E118="","",INDEX('Configuración'!$D$15:$D$134,MATCH(E118,'Configuración'!$E$15:$E$134,0)))</f>
        <v/>
      </c>
      <c r="G118" s="1" t="str">
        <f>IF(OR(Movimientos!B118="",Movimientos!G118=""),"",Movimientos!G118)</f>
        <v/>
      </c>
      <c r="H118" s="1" t="str">
        <f>IF(OR(Movimientos!B118="",Movimientos!H118=""),"",Movimientos!H118)</f>
        <v/>
      </c>
      <c r="I118" s="54" t="str">
        <f>IF(OR(Movimientos!B118="",Movimientos!I118=""),"",Movimientos!I118)</f>
        <v/>
      </c>
      <c r="J118" s="54" t="str">
        <f>IF(OR(Movimientos!B118="",Movimientos!J118=""),"",Movimientos!J118)</f>
        <v/>
      </c>
      <c r="K118" s="54" t="str">
        <f t="shared" si="1"/>
        <v/>
      </c>
      <c r="L118" s="54" t="str">
        <f t="shared" si="2"/>
        <v/>
      </c>
      <c r="M118" s="54" t="str">
        <f t="shared" si="3"/>
        <v/>
      </c>
      <c r="N118" s="1" t="str">
        <f t="shared" si="4"/>
        <v/>
      </c>
      <c r="O118" s="1"/>
      <c r="P118" s="1"/>
      <c r="Q118" s="1"/>
      <c r="R118" s="1"/>
    </row>
    <row r="119" ht="24.75" customHeight="1">
      <c r="A119" s="1"/>
      <c r="B119" s="1" t="str">
        <f>IF(OR(Movimientos!B119="",Movimientos!B119=""),"",Movimientos!B119)</f>
        <v/>
      </c>
      <c r="C119" s="36" t="str">
        <f>IF(OR(Movimientos!B119="",Movimientos!C119=""),"",Movimientos!C119)</f>
        <v/>
      </c>
      <c r="D119" s="1" t="str">
        <f>IF(OR(Movimientos!B119="",Movimientos!D119=""),"",Movimientos!D119)</f>
        <v/>
      </c>
      <c r="E119" s="1" t="str">
        <f>IF(OR(Movimientos!B119="",Movimientos!F119=""),"",Movimientos!F119)</f>
        <v/>
      </c>
      <c r="F119" s="1" t="str">
        <f t="array" ref="F119">IF(E119="","",INDEX('Configuración'!$D$15:$D$134,MATCH(E119,'Configuración'!$E$15:$E$134,0)))</f>
        <v/>
      </c>
      <c r="G119" s="1" t="str">
        <f>IF(OR(Movimientos!B119="",Movimientos!G119=""),"",Movimientos!G119)</f>
        <v/>
      </c>
      <c r="H119" s="1" t="str">
        <f>IF(OR(Movimientos!B119="",Movimientos!H119=""),"",Movimientos!H119)</f>
        <v/>
      </c>
      <c r="I119" s="54" t="str">
        <f>IF(OR(Movimientos!B119="",Movimientos!I119=""),"",Movimientos!I119)</f>
        <v/>
      </c>
      <c r="J119" s="54" t="str">
        <f>IF(OR(Movimientos!B119="",Movimientos!J119=""),"",Movimientos!J119)</f>
        <v/>
      </c>
      <c r="K119" s="54" t="str">
        <f t="shared" si="1"/>
        <v/>
      </c>
      <c r="L119" s="54" t="str">
        <f t="shared" si="2"/>
        <v/>
      </c>
      <c r="M119" s="54" t="str">
        <f t="shared" si="3"/>
        <v/>
      </c>
      <c r="N119" s="1" t="str">
        <f t="shared" si="4"/>
        <v/>
      </c>
      <c r="O119" s="1"/>
      <c r="P119" s="1"/>
      <c r="Q119" s="1"/>
      <c r="R119" s="1"/>
    </row>
    <row r="120" ht="24.75" customHeight="1">
      <c r="A120" s="1"/>
      <c r="B120" s="1" t="str">
        <f>IF(OR(Movimientos!B120="",Movimientos!B120=""),"",Movimientos!B120)</f>
        <v/>
      </c>
      <c r="C120" s="36" t="str">
        <f>IF(OR(Movimientos!B120="",Movimientos!C120=""),"",Movimientos!C120)</f>
        <v/>
      </c>
      <c r="D120" s="1" t="str">
        <f>IF(OR(Movimientos!B120="",Movimientos!D120=""),"",Movimientos!D120)</f>
        <v/>
      </c>
      <c r="E120" s="1" t="str">
        <f>IF(OR(Movimientos!B120="",Movimientos!F120=""),"",Movimientos!F120)</f>
        <v/>
      </c>
      <c r="F120" s="1" t="str">
        <f t="array" ref="F120">IF(E120="","",INDEX('Configuración'!$D$15:$D$134,MATCH(E120,'Configuración'!$E$15:$E$134,0)))</f>
        <v/>
      </c>
      <c r="G120" s="1" t="str">
        <f>IF(OR(Movimientos!B120="",Movimientos!G120=""),"",Movimientos!G120)</f>
        <v/>
      </c>
      <c r="H120" s="1" t="str">
        <f>IF(OR(Movimientos!B120="",Movimientos!H120=""),"",Movimientos!H120)</f>
        <v/>
      </c>
      <c r="I120" s="54" t="str">
        <f>IF(OR(Movimientos!B120="",Movimientos!I120=""),"",Movimientos!I120)</f>
        <v/>
      </c>
      <c r="J120" s="54" t="str">
        <f>IF(OR(Movimientos!B120="",Movimientos!J120=""),"",Movimientos!J120)</f>
        <v/>
      </c>
      <c r="K120" s="54" t="str">
        <f t="shared" si="1"/>
        <v/>
      </c>
      <c r="L120" s="54" t="str">
        <f t="shared" si="2"/>
        <v/>
      </c>
      <c r="M120" s="54" t="str">
        <f t="shared" si="3"/>
        <v/>
      </c>
      <c r="N120" s="1" t="str">
        <f t="shared" si="4"/>
        <v/>
      </c>
      <c r="O120" s="1"/>
      <c r="P120" s="1"/>
      <c r="Q120" s="1"/>
      <c r="R120" s="1"/>
    </row>
    <row r="121" ht="24.75" customHeight="1">
      <c r="A121" s="1"/>
      <c r="B121" s="1" t="str">
        <f>IF(OR(Movimientos!B121="",Movimientos!B121=""),"",Movimientos!B121)</f>
        <v/>
      </c>
      <c r="C121" s="36" t="str">
        <f>IF(OR(Movimientos!B121="",Movimientos!C121=""),"",Movimientos!C121)</f>
        <v/>
      </c>
      <c r="D121" s="1" t="str">
        <f>IF(OR(Movimientos!B121="",Movimientos!D121=""),"",Movimientos!D121)</f>
        <v/>
      </c>
      <c r="E121" s="1" t="str">
        <f>IF(OR(Movimientos!B121="",Movimientos!F121=""),"",Movimientos!F121)</f>
        <v/>
      </c>
      <c r="F121" s="1" t="str">
        <f t="array" ref="F121">IF(E121="","",INDEX('Configuración'!$D$15:$D$134,MATCH(E121,'Configuración'!$E$15:$E$134,0)))</f>
        <v/>
      </c>
      <c r="G121" s="1" t="str">
        <f>IF(OR(Movimientos!B121="",Movimientos!G121=""),"",Movimientos!G121)</f>
        <v/>
      </c>
      <c r="H121" s="1" t="str">
        <f>IF(OR(Movimientos!B121="",Movimientos!H121=""),"",Movimientos!H121)</f>
        <v/>
      </c>
      <c r="I121" s="54" t="str">
        <f>IF(OR(Movimientos!B121="",Movimientos!I121=""),"",Movimientos!I121)</f>
        <v/>
      </c>
      <c r="J121" s="54" t="str">
        <f>IF(OR(Movimientos!B121="",Movimientos!J121=""),"",Movimientos!J121)</f>
        <v/>
      </c>
      <c r="K121" s="54" t="str">
        <f t="shared" si="1"/>
        <v/>
      </c>
      <c r="L121" s="54" t="str">
        <f t="shared" si="2"/>
        <v/>
      </c>
      <c r="M121" s="54" t="str">
        <f t="shared" si="3"/>
        <v/>
      </c>
      <c r="N121" s="1" t="str">
        <f t="shared" si="4"/>
        <v/>
      </c>
      <c r="O121" s="1"/>
      <c r="P121" s="1"/>
      <c r="Q121" s="1"/>
      <c r="R121" s="1"/>
    </row>
    <row r="122" ht="24.75" customHeight="1">
      <c r="A122" s="1"/>
      <c r="B122" s="1" t="str">
        <f>IF(OR(Movimientos!B122="",Movimientos!B122=""),"",Movimientos!B122)</f>
        <v/>
      </c>
      <c r="C122" s="36" t="str">
        <f>IF(OR(Movimientos!B122="",Movimientos!C122=""),"",Movimientos!C122)</f>
        <v/>
      </c>
      <c r="D122" s="1" t="str">
        <f>IF(OR(Movimientos!B122="",Movimientos!D122=""),"",Movimientos!D122)</f>
        <v/>
      </c>
      <c r="E122" s="1" t="str">
        <f>IF(OR(Movimientos!B122="",Movimientos!F122=""),"",Movimientos!F122)</f>
        <v/>
      </c>
      <c r="F122" s="1" t="str">
        <f t="array" ref="F122">IF(E122="","",INDEX('Configuración'!$D$15:$D$134,MATCH(E122,'Configuración'!$E$15:$E$134,0)))</f>
        <v/>
      </c>
      <c r="G122" s="1" t="str">
        <f>IF(OR(Movimientos!B122="",Movimientos!G122=""),"",Movimientos!G122)</f>
        <v/>
      </c>
      <c r="H122" s="1" t="str">
        <f>IF(OR(Movimientos!B122="",Movimientos!H122=""),"",Movimientos!H122)</f>
        <v/>
      </c>
      <c r="I122" s="54" t="str">
        <f>IF(OR(Movimientos!B122="",Movimientos!I122=""),"",Movimientos!I122)</f>
        <v/>
      </c>
      <c r="J122" s="54" t="str">
        <f>IF(OR(Movimientos!B122="",Movimientos!J122=""),"",Movimientos!J122)</f>
        <v/>
      </c>
      <c r="K122" s="54" t="str">
        <f t="shared" si="1"/>
        <v/>
      </c>
      <c r="L122" s="54" t="str">
        <f t="shared" si="2"/>
        <v/>
      </c>
      <c r="M122" s="54" t="str">
        <f t="shared" si="3"/>
        <v/>
      </c>
      <c r="N122" s="1" t="str">
        <f t="shared" si="4"/>
        <v/>
      </c>
      <c r="O122" s="1"/>
      <c r="P122" s="1"/>
      <c r="Q122" s="1"/>
      <c r="R122" s="1"/>
    </row>
    <row r="123" ht="24.75" customHeight="1">
      <c r="A123" s="1"/>
      <c r="B123" s="1" t="str">
        <f>IF(OR(Movimientos!B123="",Movimientos!B123=""),"",Movimientos!B123)</f>
        <v/>
      </c>
      <c r="C123" s="36" t="str">
        <f>IF(OR(Movimientos!B123="",Movimientos!C123=""),"",Movimientos!C123)</f>
        <v/>
      </c>
      <c r="D123" s="1" t="str">
        <f>IF(OR(Movimientos!B123="",Movimientos!D123=""),"",Movimientos!D123)</f>
        <v/>
      </c>
      <c r="E123" s="1" t="str">
        <f>IF(OR(Movimientos!B123="",Movimientos!F123=""),"",Movimientos!F123)</f>
        <v/>
      </c>
      <c r="F123" s="1" t="str">
        <f t="array" ref="F123">IF(E123="","",INDEX('Configuración'!$D$15:$D$134,MATCH(E123,'Configuración'!$E$15:$E$134,0)))</f>
        <v/>
      </c>
      <c r="G123" s="1" t="str">
        <f>IF(OR(Movimientos!B123="",Movimientos!G123=""),"",Movimientos!G123)</f>
        <v/>
      </c>
      <c r="H123" s="1" t="str">
        <f>IF(OR(Movimientos!B123="",Movimientos!H123=""),"",Movimientos!H123)</f>
        <v/>
      </c>
      <c r="I123" s="54" t="str">
        <f>IF(OR(Movimientos!B123="",Movimientos!I123=""),"",Movimientos!I123)</f>
        <v/>
      </c>
      <c r="J123" s="54" t="str">
        <f>IF(OR(Movimientos!B123="",Movimientos!J123=""),"",Movimientos!J123)</f>
        <v/>
      </c>
      <c r="K123" s="54" t="str">
        <f t="shared" si="1"/>
        <v/>
      </c>
      <c r="L123" s="54" t="str">
        <f t="shared" si="2"/>
        <v/>
      </c>
      <c r="M123" s="54" t="str">
        <f t="shared" si="3"/>
        <v/>
      </c>
      <c r="N123" s="1" t="str">
        <f t="shared" si="4"/>
        <v/>
      </c>
      <c r="O123" s="1"/>
      <c r="P123" s="1"/>
      <c r="Q123" s="1"/>
      <c r="R123" s="1"/>
    </row>
    <row r="124" ht="24.75" customHeight="1">
      <c r="A124" s="1"/>
      <c r="B124" s="1" t="str">
        <f>IF(OR(Movimientos!B124="",Movimientos!B124=""),"",Movimientos!B124)</f>
        <v/>
      </c>
      <c r="C124" s="36" t="str">
        <f>IF(OR(Movimientos!B124="",Movimientos!C124=""),"",Movimientos!C124)</f>
        <v/>
      </c>
      <c r="D124" s="1" t="str">
        <f>IF(OR(Movimientos!B124="",Movimientos!D124=""),"",Movimientos!D124)</f>
        <v/>
      </c>
      <c r="E124" s="1" t="str">
        <f>IF(OR(Movimientos!B124="",Movimientos!F124=""),"",Movimientos!F124)</f>
        <v/>
      </c>
      <c r="F124" s="1" t="str">
        <f t="array" ref="F124">IF(E124="","",INDEX('Configuración'!$D$15:$D$134,MATCH(E124,'Configuración'!$E$15:$E$134,0)))</f>
        <v/>
      </c>
      <c r="G124" s="1" t="str">
        <f>IF(OR(Movimientos!B124="",Movimientos!G124=""),"",Movimientos!G124)</f>
        <v/>
      </c>
      <c r="H124" s="1" t="str">
        <f>IF(OR(Movimientos!B124="",Movimientos!H124=""),"",Movimientos!H124)</f>
        <v/>
      </c>
      <c r="I124" s="54" t="str">
        <f>IF(OR(Movimientos!B124="",Movimientos!I124=""),"",Movimientos!I124)</f>
        <v/>
      </c>
      <c r="J124" s="54" t="str">
        <f>IF(OR(Movimientos!B124="",Movimientos!J124=""),"",Movimientos!J124)</f>
        <v/>
      </c>
      <c r="K124" s="54" t="str">
        <f t="shared" si="1"/>
        <v/>
      </c>
      <c r="L124" s="54" t="str">
        <f t="shared" si="2"/>
        <v/>
      </c>
      <c r="M124" s="54" t="str">
        <f t="shared" si="3"/>
        <v/>
      </c>
      <c r="N124" s="1" t="str">
        <f t="shared" si="4"/>
        <v/>
      </c>
      <c r="O124" s="1"/>
      <c r="P124" s="1"/>
      <c r="Q124" s="1"/>
      <c r="R124" s="1"/>
    </row>
    <row r="125" ht="24.75" customHeight="1">
      <c r="A125" s="1"/>
      <c r="B125" s="1" t="str">
        <f>IF(OR(Movimientos!B125="",Movimientos!B125=""),"",Movimientos!B125)</f>
        <v/>
      </c>
      <c r="C125" s="36" t="str">
        <f>IF(OR(Movimientos!B125="",Movimientos!C125=""),"",Movimientos!C125)</f>
        <v/>
      </c>
      <c r="D125" s="1" t="str">
        <f>IF(OR(Movimientos!B125="",Movimientos!D125=""),"",Movimientos!D125)</f>
        <v/>
      </c>
      <c r="E125" s="1" t="str">
        <f>IF(OR(Movimientos!B125="",Movimientos!F125=""),"",Movimientos!F125)</f>
        <v/>
      </c>
      <c r="F125" s="1" t="str">
        <f t="array" ref="F125">IF(E125="","",INDEX('Configuración'!$D$15:$D$134,MATCH(E125,'Configuración'!$E$15:$E$134,0)))</f>
        <v/>
      </c>
      <c r="G125" s="1" t="str">
        <f>IF(OR(Movimientos!B125="",Movimientos!G125=""),"",Movimientos!G125)</f>
        <v/>
      </c>
      <c r="H125" s="1" t="str">
        <f>IF(OR(Movimientos!B125="",Movimientos!H125=""),"",Movimientos!H125)</f>
        <v/>
      </c>
      <c r="I125" s="54" t="str">
        <f>IF(OR(Movimientos!B125="",Movimientos!I125=""),"",Movimientos!I125)</f>
        <v/>
      </c>
      <c r="J125" s="54" t="str">
        <f>IF(OR(Movimientos!B125="",Movimientos!J125=""),"",Movimientos!J125)</f>
        <v/>
      </c>
      <c r="K125" s="54" t="str">
        <f t="shared" si="1"/>
        <v/>
      </c>
      <c r="L125" s="54" t="str">
        <f t="shared" si="2"/>
        <v/>
      </c>
      <c r="M125" s="54" t="str">
        <f t="shared" si="3"/>
        <v/>
      </c>
      <c r="N125" s="1" t="str">
        <f t="shared" si="4"/>
        <v/>
      </c>
      <c r="O125" s="1"/>
      <c r="P125" s="1"/>
      <c r="Q125" s="1"/>
      <c r="R125" s="1"/>
    </row>
    <row r="126" ht="24.75" customHeight="1">
      <c r="A126" s="1"/>
      <c r="B126" s="1" t="str">
        <f>IF(OR(Movimientos!B126="",Movimientos!B126=""),"",Movimientos!B126)</f>
        <v/>
      </c>
      <c r="C126" s="36" t="str">
        <f>IF(OR(Movimientos!B126="",Movimientos!C126=""),"",Movimientos!C126)</f>
        <v/>
      </c>
      <c r="D126" s="1" t="str">
        <f>IF(OR(Movimientos!B126="",Movimientos!D126=""),"",Movimientos!D126)</f>
        <v/>
      </c>
      <c r="E126" s="1" t="str">
        <f>IF(OR(Movimientos!B126="",Movimientos!F126=""),"",Movimientos!F126)</f>
        <v/>
      </c>
      <c r="F126" s="1" t="str">
        <f t="array" ref="F126">IF(E126="","",INDEX('Configuración'!$D$15:$D$134,MATCH(E126,'Configuración'!$E$15:$E$134,0)))</f>
        <v/>
      </c>
      <c r="G126" s="1" t="str">
        <f>IF(OR(Movimientos!B126="",Movimientos!G126=""),"",Movimientos!G126)</f>
        <v/>
      </c>
      <c r="H126" s="1" t="str">
        <f>IF(OR(Movimientos!B126="",Movimientos!H126=""),"",Movimientos!H126)</f>
        <v/>
      </c>
      <c r="I126" s="54" t="str">
        <f>IF(OR(Movimientos!B126="",Movimientos!I126=""),"",Movimientos!I126)</f>
        <v/>
      </c>
      <c r="J126" s="54" t="str">
        <f>IF(OR(Movimientos!B126="",Movimientos!J126=""),"",Movimientos!J126)</f>
        <v/>
      </c>
      <c r="K126" s="54" t="str">
        <f t="shared" si="1"/>
        <v/>
      </c>
      <c r="L126" s="54" t="str">
        <f t="shared" si="2"/>
        <v/>
      </c>
      <c r="M126" s="54" t="str">
        <f t="shared" si="3"/>
        <v/>
      </c>
      <c r="N126" s="1" t="str">
        <f t="shared" si="4"/>
        <v/>
      </c>
      <c r="O126" s="1"/>
      <c r="P126" s="1"/>
      <c r="Q126" s="1"/>
      <c r="R126" s="1"/>
    </row>
    <row r="127" ht="24.75" customHeight="1">
      <c r="A127" s="1"/>
      <c r="B127" s="1" t="str">
        <f>IF(OR(Movimientos!B127="",Movimientos!B127=""),"",Movimientos!B127)</f>
        <v/>
      </c>
      <c r="C127" s="36" t="str">
        <f>IF(OR(Movimientos!B127="",Movimientos!C127=""),"",Movimientos!C127)</f>
        <v/>
      </c>
      <c r="D127" s="1" t="str">
        <f>IF(OR(Movimientos!B127="",Movimientos!D127=""),"",Movimientos!D127)</f>
        <v/>
      </c>
      <c r="E127" s="1" t="str">
        <f>IF(OR(Movimientos!B127="",Movimientos!F127=""),"",Movimientos!F127)</f>
        <v/>
      </c>
      <c r="F127" s="1" t="str">
        <f t="array" ref="F127">IF(E127="","",INDEX('Configuración'!$D$15:$D$134,MATCH(E127,'Configuración'!$E$15:$E$134,0)))</f>
        <v/>
      </c>
      <c r="G127" s="1" t="str">
        <f>IF(OR(Movimientos!B127="",Movimientos!G127=""),"",Movimientos!G127)</f>
        <v/>
      </c>
      <c r="H127" s="1" t="str">
        <f>IF(OR(Movimientos!B127="",Movimientos!H127=""),"",Movimientos!H127)</f>
        <v/>
      </c>
      <c r="I127" s="54" t="str">
        <f>IF(OR(Movimientos!B127="",Movimientos!I127=""),"",Movimientos!I127)</f>
        <v/>
      </c>
      <c r="J127" s="54" t="str">
        <f>IF(OR(Movimientos!B127="",Movimientos!J127=""),"",Movimientos!J127)</f>
        <v/>
      </c>
      <c r="K127" s="54" t="str">
        <f t="shared" si="1"/>
        <v/>
      </c>
      <c r="L127" s="54" t="str">
        <f t="shared" si="2"/>
        <v/>
      </c>
      <c r="M127" s="54" t="str">
        <f t="shared" si="3"/>
        <v/>
      </c>
      <c r="N127" s="1" t="str">
        <f t="shared" si="4"/>
        <v/>
      </c>
      <c r="O127" s="1"/>
      <c r="P127" s="1"/>
      <c r="Q127" s="1"/>
      <c r="R127" s="1"/>
    </row>
    <row r="128" ht="24.75" customHeight="1">
      <c r="A128" s="1"/>
      <c r="B128" s="1" t="str">
        <f>IF(OR(Movimientos!B128="",Movimientos!B128=""),"",Movimientos!B128)</f>
        <v/>
      </c>
      <c r="C128" s="36" t="str">
        <f>IF(OR(Movimientos!B128="",Movimientos!C128=""),"",Movimientos!C128)</f>
        <v/>
      </c>
      <c r="D128" s="1" t="str">
        <f>IF(OR(Movimientos!B128="",Movimientos!D128=""),"",Movimientos!D128)</f>
        <v/>
      </c>
      <c r="E128" s="1" t="str">
        <f>IF(OR(Movimientos!B128="",Movimientos!F128=""),"",Movimientos!F128)</f>
        <v/>
      </c>
      <c r="F128" s="1" t="str">
        <f t="array" ref="F128">IF(E128="","",INDEX('Configuración'!$D$15:$D$134,MATCH(E128,'Configuración'!$E$15:$E$134,0)))</f>
        <v/>
      </c>
      <c r="G128" s="1" t="str">
        <f>IF(OR(Movimientos!B128="",Movimientos!G128=""),"",Movimientos!G128)</f>
        <v/>
      </c>
      <c r="H128" s="1" t="str">
        <f>IF(OR(Movimientos!B128="",Movimientos!H128=""),"",Movimientos!H128)</f>
        <v/>
      </c>
      <c r="I128" s="54" t="str">
        <f>IF(OR(Movimientos!B128="",Movimientos!I128=""),"",Movimientos!I128)</f>
        <v/>
      </c>
      <c r="J128" s="54" t="str">
        <f>IF(OR(Movimientos!B128="",Movimientos!J128=""),"",Movimientos!J128)</f>
        <v/>
      </c>
      <c r="K128" s="54" t="str">
        <f t="shared" si="1"/>
        <v/>
      </c>
      <c r="L128" s="54" t="str">
        <f t="shared" si="2"/>
        <v/>
      </c>
      <c r="M128" s="54" t="str">
        <f t="shared" si="3"/>
        <v/>
      </c>
      <c r="N128" s="1" t="str">
        <f t="shared" si="4"/>
        <v/>
      </c>
      <c r="O128" s="1"/>
      <c r="P128" s="1"/>
      <c r="Q128" s="1"/>
      <c r="R128" s="1"/>
    </row>
    <row r="129" ht="24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ht="24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ht="24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ht="24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ht="24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ht="24.75" customHeight="1">
      <c r="A134" s="1"/>
      <c r="B134" s="1" t="s">
        <v>41</v>
      </c>
      <c r="C134" s="1" t="s">
        <v>29</v>
      </c>
      <c r="D134" s="1" t="s">
        <v>42</v>
      </c>
      <c r="E134" s="1" t="s">
        <v>31</v>
      </c>
      <c r="F134" s="1" t="s">
        <v>26</v>
      </c>
      <c r="G134" s="1" t="s">
        <v>171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ht="24.75" customHeight="1">
      <c r="A135" s="1"/>
      <c r="B135" s="59">
        <f>DATE('Resumen financiero'!$E$4,1,1)</f>
        <v>46023</v>
      </c>
      <c r="C135" s="1">
        <f>IF(AND(EDATE(B135,1)&gt;'Configuración'!$C$6,B135&lt;='Configuración'!$C$7),IF('Resumen financiero'!$Q$4="Todas",SUMIFS('Cálculos'!$K$9:$K$128,'Cálculos'!$C$9:$C$128,"&gt;="&amp;B135,'Cálculos'!$C$9:$C$128,"&lt;"&amp;MIN(EDATE(B135,1),'Configuración'!$C$7+1)),SUMIFS('Cálculos'!$K$9:$K$128,'Cálculos'!$C$9:$C$128,"&gt;="&amp;B135,'Cálculos'!$C$9:$C$128,"&lt;"&amp;MIN(EDATE(B135,1),'Configuración'!$C$7+1),'Cálculos'!$N$9:$N$128,'Resumen financiero'!$Q$4)),"")</f>
        <v>0</v>
      </c>
      <c r="D135" s="1">
        <f>IF(AND(EDATE(B135,1)&gt;'Configuración'!$C$6,B135&lt;='Configuración'!$C$7),IF('Resumen financiero'!$Q$4="Todas",SUMIFS('Cálculos'!$L$9:$L$128,'Cálculos'!$C$9:$C$128,"&gt;="&amp;B135,'Cálculos'!$C$9:$C$128,"&lt;"&amp;MIN(EDATE(B135,1),'Configuración'!$C$7+1)),SUMIFS('Cálculos'!$L$9:$L$128,'Cálculos'!$C$9:$C$128,"&gt;="&amp;B135,'Cálculos'!$C$9:$C$128,"&lt;"&amp;MIN(EDATE(B135,1),'Configuración'!$C$7+1),'Cálculos'!$N$9:$N$128,'Resumen financiero'!$Q$4)),"")</f>
        <v>0</v>
      </c>
      <c r="E135" s="1">
        <f t="shared" ref="E135:E146" si="5">IF(COUNT(C135,D135)&lt;2,"",C135-D135)</f>
        <v>0</v>
      </c>
      <c r="F135" s="39">
        <f>IF(AND(EDATE(B135,1)&gt;'Configuración'!$C$6,B135&lt;='Configuración'!$C$7),IF('Resumen financiero'!$Q$4="Todas",SUM(tCuentas[Saldo inicial])+SUMIFS(tMovimientos[Importe],tMovimientos[Destino],"&lt;&gt;",tMovimientos[Fecha],"&gt;="&amp;'Configuración'!$C$6,tMovimientos[Fecha],"&lt;"&amp;MIN(EDATE(B135,1),'Configuración'!$C$7+1))-SUMIFS(tMovimientos[Importe],tMovimientos[Origen],"&lt;&gt;",tMovimientos[Fecha],"&gt;="&amp;'Configuración'!$C$6,tMovimientos[Fecha],"&lt;"&amp;MIN(EDATE(B135,1),'Configuración'!$C$7+1)),SUMIFS(tCuentas[Saldo inicial],tCuentas[Cuenta],'Resumen financiero'!$Q$4)+SUMIFS(tMovimientos[Importe],tMovimientos[Destino],'Resumen financiero'!$Q$4,tMovimientos[Fecha],"&gt;="&amp;'Configuración'!$C$6,tMovimientos[Fecha],"&lt;"&amp;MIN(EDATE(B135,1),'Configuración'!$C$7+1))-SUMIFS(tMovimientos[Importe],tMovimientos[Origen],'Resumen financiero'!$Q$4,tMovimientos[Fecha],"&gt;="&amp;'Configuración'!$C$6,tMovimientos[Fecha],"&lt;"&amp;MIN(EDATE(B135,1),'Configuración'!$C$7+1))),"")</f>
        <v>0</v>
      </c>
      <c r="G135" s="1" t="str">
        <f t="shared" ref="G135:G146" si="6">IF(COUNT(C135)=0,"",CHOOSE(MONTH(B135),"ene","feb","mar","abr","may","jun","jul","ago","sep","oct","nov","dic")&amp;" "&amp;YEAR(B135))</f>
        <v>ene 2026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ht="24.75" customHeight="1">
      <c r="A136" s="1"/>
      <c r="B136" s="59">
        <f>DATE('Resumen financiero'!$E$4,2,1)</f>
        <v>46054</v>
      </c>
      <c r="C136" s="1" t="str">
        <f>IF(AND(EDATE(B136,1)&gt;'Configuración'!$C$6,B136&lt;='Configuración'!$C$7),IF('Resumen financiero'!$Q$4="Todas",SUMIFS('Cálculos'!$K$9:$K$128,'Cálculos'!$C$9:$C$128,"&gt;="&amp;B136,'Cálculos'!$C$9:$C$128,"&lt;"&amp;MIN(EDATE(B136,1),'Configuración'!$C$7+1)),SUMIFS('Cálculos'!$K$9:$K$128,'Cálculos'!$C$9:$C$128,"&gt;="&amp;B136,'Cálculos'!$C$9:$C$128,"&lt;"&amp;MIN(EDATE(B136,1),'Configuración'!$C$7+1),'Cálculos'!$N$9:$N$128,'Resumen financiero'!$Q$4)),"")</f>
        <v/>
      </c>
      <c r="D136" s="1" t="str">
        <f>IF(AND(EDATE(B136,1)&gt;'Configuración'!$C$6,B136&lt;='Configuración'!$C$7),IF('Resumen financiero'!$Q$4="Todas",SUMIFS('Cálculos'!$L$9:$L$128,'Cálculos'!$C$9:$C$128,"&gt;="&amp;B136,'Cálculos'!$C$9:$C$128,"&lt;"&amp;MIN(EDATE(B136,1),'Configuración'!$C$7+1)),SUMIFS('Cálculos'!$L$9:$L$128,'Cálculos'!$C$9:$C$128,"&gt;="&amp;B136,'Cálculos'!$C$9:$C$128,"&lt;"&amp;MIN(EDATE(B136,1),'Configuración'!$C$7+1),'Cálculos'!$N$9:$N$128,'Resumen financiero'!$Q$4)),"")</f>
        <v/>
      </c>
      <c r="E136" s="1" t="str">
        <f t="shared" si="5"/>
        <v/>
      </c>
      <c r="F136" s="1" t="str">
        <f>IF(AND(EDATE(B136,1)&gt;'Configuración'!$C$6,B136&lt;='Configuración'!$C$7),IF('Resumen financiero'!$Q$4="Todas",SUM(tCuentas[Saldo inicial])+SUMIFS(tMovimientos[Importe],tMovimientos[Destino],"&lt;&gt;",tMovimientos[Fecha],"&gt;="&amp;'Configuración'!$C$6,tMovimientos[Fecha],"&lt;"&amp;MIN(EDATE(B136,1),'Configuración'!$C$7+1))-SUMIFS(tMovimientos[Importe],tMovimientos[Origen],"&lt;&gt;",tMovimientos[Fecha],"&gt;="&amp;'Configuración'!$C$6,tMovimientos[Fecha],"&lt;"&amp;MIN(EDATE(B136,1),'Configuración'!$C$7+1)),SUMIFS(tCuentas[Saldo inicial],tCuentas[Cuenta],'Resumen financiero'!$Q$4)+SUMIFS(tMovimientos[Importe],tMovimientos[Destino],'Resumen financiero'!$Q$4,tMovimientos[Fecha],"&gt;="&amp;'Configuración'!$C$6,tMovimientos[Fecha],"&lt;"&amp;MIN(EDATE(B136,1),'Configuración'!$C$7+1))-SUMIFS(tMovimientos[Importe],tMovimientos[Origen],'Resumen financiero'!$Q$4,tMovimientos[Fecha],"&gt;="&amp;'Configuración'!$C$6,tMovimientos[Fecha],"&lt;"&amp;MIN(EDATE(B136,1),'Configuración'!$C$7+1))),"")</f>
        <v/>
      </c>
      <c r="G136" s="1" t="str">
        <f t="shared" si="6"/>
        <v/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ht="24.75" customHeight="1">
      <c r="A137" s="1"/>
      <c r="B137" s="59">
        <f>DATE('Resumen financiero'!$E$4,3,1)</f>
        <v>46082</v>
      </c>
      <c r="C137" s="1" t="str">
        <f>IF(AND(EDATE(B137,1)&gt;'Configuración'!$C$6,B137&lt;='Configuración'!$C$7),IF('Resumen financiero'!$Q$4="Todas",SUMIFS('Cálculos'!$K$9:$K$128,'Cálculos'!$C$9:$C$128,"&gt;="&amp;B137,'Cálculos'!$C$9:$C$128,"&lt;"&amp;MIN(EDATE(B137,1),'Configuración'!$C$7+1)),SUMIFS('Cálculos'!$K$9:$K$128,'Cálculos'!$C$9:$C$128,"&gt;="&amp;B137,'Cálculos'!$C$9:$C$128,"&lt;"&amp;MIN(EDATE(B137,1),'Configuración'!$C$7+1),'Cálculos'!$N$9:$N$128,'Resumen financiero'!$Q$4)),"")</f>
        <v/>
      </c>
      <c r="D137" s="1" t="str">
        <f>IF(AND(EDATE(B137,1)&gt;'Configuración'!$C$6,B137&lt;='Configuración'!$C$7),IF('Resumen financiero'!$Q$4="Todas",SUMIFS('Cálculos'!$L$9:$L$128,'Cálculos'!$C$9:$C$128,"&gt;="&amp;B137,'Cálculos'!$C$9:$C$128,"&lt;"&amp;MIN(EDATE(B137,1),'Configuración'!$C$7+1)),SUMIFS('Cálculos'!$L$9:$L$128,'Cálculos'!$C$9:$C$128,"&gt;="&amp;B137,'Cálculos'!$C$9:$C$128,"&lt;"&amp;MIN(EDATE(B137,1),'Configuración'!$C$7+1),'Cálculos'!$N$9:$N$128,'Resumen financiero'!$Q$4)),"")</f>
        <v/>
      </c>
      <c r="E137" s="1" t="str">
        <f t="shared" si="5"/>
        <v/>
      </c>
      <c r="F137" s="1" t="str">
        <f>IF(AND(EDATE(B137,1)&gt;'Configuración'!$C$6,B137&lt;='Configuración'!$C$7),IF('Resumen financiero'!$Q$4="Todas",SUM(tCuentas[Saldo inicial])+SUMIFS(tMovimientos[Importe],tMovimientos[Destino],"&lt;&gt;",tMovimientos[Fecha],"&gt;="&amp;'Configuración'!$C$6,tMovimientos[Fecha],"&lt;"&amp;MIN(EDATE(B137,1),'Configuración'!$C$7+1))-SUMIFS(tMovimientos[Importe],tMovimientos[Origen],"&lt;&gt;",tMovimientos[Fecha],"&gt;="&amp;'Configuración'!$C$6,tMovimientos[Fecha],"&lt;"&amp;MIN(EDATE(B137,1),'Configuración'!$C$7+1)),SUMIFS(tCuentas[Saldo inicial],tCuentas[Cuenta],'Resumen financiero'!$Q$4)+SUMIFS(tMovimientos[Importe],tMovimientos[Destino],'Resumen financiero'!$Q$4,tMovimientos[Fecha],"&gt;="&amp;'Configuración'!$C$6,tMovimientos[Fecha],"&lt;"&amp;MIN(EDATE(B137,1),'Configuración'!$C$7+1))-SUMIFS(tMovimientos[Importe],tMovimientos[Origen],'Resumen financiero'!$Q$4,tMovimientos[Fecha],"&gt;="&amp;'Configuración'!$C$6,tMovimientos[Fecha],"&lt;"&amp;MIN(EDATE(B137,1),'Configuración'!$C$7+1))),"")</f>
        <v/>
      </c>
      <c r="G137" s="1" t="str">
        <f t="shared" si="6"/>
        <v/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ht="24.75" customHeight="1">
      <c r="A138" s="1"/>
      <c r="B138" s="59">
        <f>DATE('Resumen financiero'!$E$4,4,1)</f>
        <v>46113</v>
      </c>
      <c r="C138" s="1" t="str">
        <f>IF(AND(EDATE(B138,1)&gt;'Configuración'!$C$6,B138&lt;='Configuración'!$C$7),IF('Resumen financiero'!$Q$4="Todas",SUMIFS('Cálculos'!$K$9:$K$128,'Cálculos'!$C$9:$C$128,"&gt;="&amp;B138,'Cálculos'!$C$9:$C$128,"&lt;"&amp;MIN(EDATE(B138,1),'Configuración'!$C$7+1)),SUMIFS('Cálculos'!$K$9:$K$128,'Cálculos'!$C$9:$C$128,"&gt;="&amp;B138,'Cálculos'!$C$9:$C$128,"&lt;"&amp;MIN(EDATE(B138,1),'Configuración'!$C$7+1),'Cálculos'!$N$9:$N$128,'Resumen financiero'!$Q$4)),"")</f>
        <v/>
      </c>
      <c r="D138" s="1" t="str">
        <f>IF(AND(EDATE(B138,1)&gt;'Configuración'!$C$6,B138&lt;='Configuración'!$C$7),IF('Resumen financiero'!$Q$4="Todas",SUMIFS('Cálculos'!$L$9:$L$128,'Cálculos'!$C$9:$C$128,"&gt;="&amp;B138,'Cálculos'!$C$9:$C$128,"&lt;"&amp;MIN(EDATE(B138,1),'Configuración'!$C$7+1)),SUMIFS('Cálculos'!$L$9:$L$128,'Cálculos'!$C$9:$C$128,"&gt;="&amp;B138,'Cálculos'!$C$9:$C$128,"&lt;"&amp;MIN(EDATE(B138,1),'Configuración'!$C$7+1),'Cálculos'!$N$9:$N$128,'Resumen financiero'!$Q$4)),"")</f>
        <v/>
      </c>
      <c r="E138" s="1" t="str">
        <f t="shared" si="5"/>
        <v/>
      </c>
      <c r="F138" s="1" t="str">
        <f>IF(AND(EDATE(B138,1)&gt;'Configuración'!$C$6,B138&lt;='Configuración'!$C$7),IF('Resumen financiero'!$Q$4="Todas",SUM(tCuentas[Saldo inicial])+SUMIFS(tMovimientos[Importe],tMovimientos[Destino],"&lt;&gt;",tMovimientos[Fecha],"&gt;="&amp;'Configuración'!$C$6,tMovimientos[Fecha],"&lt;"&amp;MIN(EDATE(B138,1),'Configuración'!$C$7+1))-SUMIFS(tMovimientos[Importe],tMovimientos[Origen],"&lt;&gt;",tMovimientos[Fecha],"&gt;="&amp;'Configuración'!$C$6,tMovimientos[Fecha],"&lt;"&amp;MIN(EDATE(B138,1),'Configuración'!$C$7+1)),SUMIFS(tCuentas[Saldo inicial],tCuentas[Cuenta],'Resumen financiero'!$Q$4)+SUMIFS(tMovimientos[Importe],tMovimientos[Destino],'Resumen financiero'!$Q$4,tMovimientos[Fecha],"&gt;="&amp;'Configuración'!$C$6,tMovimientos[Fecha],"&lt;"&amp;MIN(EDATE(B138,1),'Configuración'!$C$7+1))-SUMIFS(tMovimientos[Importe],tMovimientos[Origen],'Resumen financiero'!$Q$4,tMovimientos[Fecha],"&gt;="&amp;'Configuración'!$C$6,tMovimientos[Fecha],"&lt;"&amp;MIN(EDATE(B138,1),'Configuración'!$C$7+1))),"")</f>
        <v/>
      </c>
      <c r="G138" s="1" t="str">
        <f t="shared" si="6"/>
        <v/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ht="24.75" customHeight="1">
      <c r="A139" s="1"/>
      <c r="B139" s="59">
        <f>DATE('Resumen financiero'!$E$4,5,1)</f>
        <v>46143</v>
      </c>
      <c r="C139" s="1" t="str">
        <f>IF(AND(EDATE(B139,1)&gt;'Configuración'!$C$6,B139&lt;='Configuración'!$C$7),IF('Resumen financiero'!$Q$4="Todas",SUMIFS('Cálculos'!$K$9:$K$128,'Cálculos'!$C$9:$C$128,"&gt;="&amp;B139,'Cálculos'!$C$9:$C$128,"&lt;"&amp;MIN(EDATE(B139,1),'Configuración'!$C$7+1)),SUMIFS('Cálculos'!$K$9:$K$128,'Cálculos'!$C$9:$C$128,"&gt;="&amp;B139,'Cálculos'!$C$9:$C$128,"&lt;"&amp;MIN(EDATE(B139,1),'Configuración'!$C$7+1),'Cálculos'!$N$9:$N$128,'Resumen financiero'!$Q$4)),"")</f>
        <v/>
      </c>
      <c r="D139" s="1" t="str">
        <f>IF(AND(EDATE(B139,1)&gt;'Configuración'!$C$6,B139&lt;='Configuración'!$C$7),IF('Resumen financiero'!$Q$4="Todas",SUMIFS('Cálculos'!$L$9:$L$128,'Cálculos'!$C$9:$C$128,"&gt;="&amp;B139,'Cálculos'!$C$9:$C$128,"&lt;"&amp;MIN(EDATE(B139,1),'Configuración'!$C$7+1)),SUMIFS('Cálculos'!$L$9:$L$128,'Cálculos'!$C$9:$C$128,"&gt;="&amp;B139,'Cálculos'!$C$9:$C$128,"&lt;"&amp;MIN(EDATE(B139,1),'Configuración'!$C$7+1),'Cálculos'!$N$9:$N$128,'Resumen financiero'!$Q$4)),"")</f>
        <v/>
      </c>
      <c r="E139" s="1" t="str">
        <f t="shared" si="5"/>
        <v/>
      </c>
      <c r="F139" s="1" t="str">
        <f>IF(AND(EDATE(B139,1)&gt;'Configuración'!$C$6,B139&lt;='Configuración'!$C$7),IF('Resumen financiero'!$Q$4="Todas",SUM(tCuentas[Saldo inicial])+SUMIFS(tMovimientos[Importe],tMovimientos[Destino],"&lt;&gt;",tMovimientos[Fecha],"&gt;="&amp;'Configuración'!$C$6,tMovimientos[Fecha],"&lt;"&amp;MIN(EDATE(B139,1),'Configuración'!$C$7+1))-SUMIFS(tMovimientos[Importe],tMovimientos[Origen],"&lt;&gt;",tMovimientos[Fecha],"&gt;="&amp;'Configuración'!$C$6,tMovimientos[Fecha],"&lt;"&amp;MIN(EDATE(B139,1),'Configuración'!$C$7+1)),SUMIFS(tCuentas[Saldo inicial],tCuentas[Cuenta],'Resumen financiero'!$Q$4)+SUMIFS(tMovimientos[Importe],tMovimientos[Destino],'Resumen financiero'!$Q$4,tMovimientos[Fecha],"&gt;="&amp;'Configuración'!$C$6,tMovimientos[Fecha],"&lt;"&amp;MIN(EDATE(B139,1),'Configuración'!$C$7+1))-SUMIFS(tMovimientos[Importe],tMovimientos[Origen],'Resumen financiero'!$Q$4,tMovimientos[Fecha],"&gt;="&amp;'Configuración'!$C$6,tMovimientos[Fecha],"&lt;"&amp;MIN(EDATE(B139,1),'Configuración'!$C$7+1))),"")</f>
        <v/>
      </c>
      <c r="G139" s="1" t="str">
        <f t="shared" si="6"/>
        <v/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ht="24.75" customHeight="1">
      <c r="A140" s="1"/>
      <c r="B140" s="59">
        <f>DATE('Resumen financiero'!$E$4,6,1)</f>
        <v>46174</v>
      </c>
      <c r="C140" s="1" t="str">
        <f>IF(AND(EDATE(B140,1)&gt;'Configuración'!$C$6,B140&lt;='Configuración'!$C$7),IF('Resumen financiero'!$Q$4="Todas",SUMIFS('Cálculos'!$K$9:$K$128,'Cálculos'!$C$9:$C$128,"&gt;="&amp;B140,'Cálculos'!$C$9:$C$128,"&lt;"&amp;MIN(EDATE(B140,1),'Configuración'!$C$7+1)),SUMIFS('Cálculos'!$K$9:$K$128,'Cálculos'!$C$9:$C$128,"&gt;="&amp;B140,'Cálculos'!$C$9:$C$128,"&lt;"&amp;MIN(EDATE(B140,1),'Configuración'!$C$7+1),'Cálculos'!$N$9:$N$128,'Resumen financiero'!$Q$4)),"")</f>
        <v/>
      </c>
      <c r="D140" s="1" t="str">
        <f>IF(AND(EDATE(B140,1)&gt;'Configuración'!$C$6,B140&lt;='Configuración'!$C$7),IF('Resumen financiero'!$Q$4="Todas",SUMIFS('Cálculos'!$L$9:$L$128,'Cálculos'!$C$9:$C$128,"&gt;="&amp;B140,'Cálculos'!$C$9:$C$128,"&lt;"&amp;MIN(EDATE(B140,1),'Configuración'!$C$7+1)),SUMIFS('Cálculos'!$L$9:$L$128,'Cálculos'!$C$9:$C$128,"&gt;="&amp;B140,'Cálculos'!$C$9:$C$128,"&lt;"&amp;MIN(EDATE(B140,1),'Configuración'!$C$7+1),'Cálculos'!$N$9:$N$128,'Resumen financiero'!$Q$4)),"")</f>
        <v/>
      </c>
      <c r="E140" s="1" t="str">
        <f t="shared" si="5"/>
        <v/>
      </c>
      <c r="F140" s="1" t="str">
        <f>IF(AND(EDATE(B140,1)&gt;'Configuración'!$C$6,B140&lt;='Configuración'!$C$7),IF('Resumen financiero'!$Q$4="Todas",SUM(tCuentas[Saldo inicial])+SUMIFS(tMovimientos[Importe],tMovimientos[Destino],"&lt;&gt;",tMovimientos[Fecha],"&gt;="&amp;'Configuración'!$C$6,tMovimientos[Fecha],"&lt;"&amp;MIN(EDATE(B140,1),'Configuración'!$C$7+1))-SUMIFS(tMovimientos[Importe],tMovimientos[Origen],"&lt;&gt;",tMovimientos[Fecha],"&gt;="&amp;'Configuración'!$C$6,tMovimientos[Fecha],"&lt;"&amp;MIN(EDATE(B140,1),'Configuración'!$C$7+1)),SUMIFS(tCuentas[Saldo inicial],tCuentas[Cuenta],'Resumen financiero'!$Q$4)+SUMIFS(tMovimientos[Importe],tMovimientos[Destino],'Resumen financiero'!$Q$4,tMovimientos[Fecha],"&gt;="&amp;'Configuración'!$C$6,tMovimientos[Fecha],"&lt;"&amp;MIN(EDATE(B140,1),'Configuración'!$C$7+1))-SUMIFS(tMovimientos[Importe],tMovimientos[Origen],'Resumen financiero'!$Q$4,tMovimientos[Fecha],"&gt;="&amp;'Configuración'!$C$6,tMovimientos[Fecha],"&lt;"&amp;MIN(EDATE(B140,1),'Configuración'!$C$7+1))),"")</f>
        <v/>
      </c>
      <c r="G140" s="1" t="str">
        <f t="shared" si="6"/>
        <v/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ht="24.75" customHeight="1">
      <c r="A141" s="1"/>
      <c r="B141" s="59">
        <f>DATE('Resumen financiero'!$E$4,7,1)</f>
        <v>46204</v>
      </c>
      <c r="C141" s="1" t="str">
        <f>IF(AND(EDATE(B141,1)&gt;'Configuración'!$C$6,B141&lt;='Configuración'!$C$7),IF('Resumen financiero'!$Q$4="Todas",SUMIFS('Cálculos'!$K$9:$K$128,'Cálculos'!$C$9:$C$128,"&gt;="&amp;B141,'Cálculos'!$C$9:$C$128,"&lt;"&amp;MIN(EDATE(B141,1),'Configuración'!$C$7+1)),SUMIFS('Cálculos'!$K$9:$K$128,'Cálculos'!$C$9:$C$128,"&gt;="&amp;B141,'Cálculos'!$C$9:$C$128,"&lt;"&amp;MIN(EDATE(B141,1),'Configuración'!$C$7+1),'Cálculos'!$N$9:$N$128,'Resumen financiero'!$Q$4)),"")</f>
        <v/>
      </c>
      <c r="D141" s="1" t="str">
        <f>IF(AND(EDATE(B141,1)&gt;'Configuración'!$C$6,B141&lt;='Configuración'!$C$7),IF('Resumen financiero'!$Q$4="Todas",SUMIFS('Cálculos'!$L$9:$L$128,'Cálculos'!$C$9:$C$128,"&gt;="&amp;B141,'Cálculos'!$C$9:$C$128,"&lt;"&amp;MIN(EDATE(B141,1),'Configuración'!$C$7+1)),SUMIFS('Cálculos'!$L$9:$L$128,'Cálculos'!$C$9:$C$128,"&gt;="&amp;B141,'Cálculos'!$C$9:$C$128,"&lt;"&amp;MIN(EDATE(B141,1),'Configuración'!$C$7+1),'Cálculos'!$N$9:$N$128,'Resumen financiero'!$Q$4)),"")</f>
        <v/>
      </c>
      <c r="E141" s="1" t="str">
        <f t="shared" si="5"/>
        <v/>
      </c>
      <c r="F141" s="1" t="str">
        <f>IF(AND(EDATE(B141,1)&gt;'Configuración'!$C$6,B141&lt;='Configuración'!$C$7),IF('Resumen financiero'!$Q$4="Todas",SUM(tCuentas[Saldo inicial])+SUMIFS(tMovimientos[Importe],tMovimientos[Destino],"&lt;&gt;",tMovimientos[Fecha],"&gt;="&amp;'Configuración'!$C$6,tMovimientos[Fecha],"&lt;"&amp;MIN(EDATE(B141,1),'Configuración'!$C$7+1))-SUMIFS(tMovimientos[Importe],tMovimientos[Origen],"&lt;&gt;",tMovimientos[Fecha],"&gt;="&amp;'Configuración'!$C$6,tMovimientos[Fecha],"&lt;"&amp;MIN(EDATE(B141,1),'Configuración'!$C$7+1)),SUMIFS(tCuentas[Saldo inicial],tCuentas[Cuenta],'Resumen financiero'!$Q$4)+SUMIFS(tMovimientos[Importe],tMovimientos[Destino],'Resumen financiero'!$Q$4,tMovimientos[Fecha],"&gt;="&amp;'Configuración'!$C$6,tMovimientos[Fecha],"&lt;"&amp;MIN(EDATE(B141,1),'Configuración'!$C$7+1))-SUMIFS(tMovimientos[Importe],tMovimientos[Origen],'Resumen financiero'!$Q$4,tMovimientos[Fecha],"&gt;="&amp;'Configuración'!$C$6,tMovimientos[Fecha],"&lt;"&amp;MIN(EDATE(B141,1),'Configuración'!$C$7+1))),"")</f>
        <v/>
      </c>
      <c r="G141" s="1" t="str">
        <f t="shared" si="6"/>
        <v/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ht="24.75" customHeight="1">
      <c r="A142" s="1"/>
      <c r="B142" s="59">
        <f>DATE('Resumen financiero'!$E$4,8,1)</f>
        <v>46235</v>
      </c>
      <c r="C142" s="1" t="str">
        <f>IF(AND(EDATE(B142,1)&gt;'Configuración'!$C$6,B142&lt;='Configuración'!$C$7),IF('Resumen financiero'!$Q$4="Todas",SUMIFS('Cálculos'!$K$9:$K$128,'Cálculos'!$C$9:$C$128,"&gt;="&amp;B142,'Cálculos'!$C$9:$C$128,"&lt;"&amp;MIN(EDATE(B142,1),'Configuración'!$C$7+1)),SUMIFS('Cálculos'!$K$9:$K$128,'Cálculos'!$C$9:$C$128,"&gt;="&amp;B142,'Cálculos'!$C$9:$C$128,"&lt;"&amp;MIN(EDATE(B142,1),'Configuración'!$C$7+1),'Cálculos'!$N$9:$N$128,'Resumen financiero'!$Q$4)),"")</f>
        <v/>
      </c>
      <c r="D142" s="1" t="str">
        <f>IF(AND(EDATE(B142,1)&gt;'Configuración'!$C$6,B142&lt;='Configuración'!$C$7),IF('Resumen financiero'!$Q$4="Todas",SUMIFS('Cálculos'!$L$9:$L$128,'Cálculos'!$C$9:$C$128,"&gt;="&amp;B142,'Cálculos'!$C$9:$C$128,"&lt;"&amp;MIN(EDATE(B142,1),'Configuración'!$C$7+1)),SUMIFS('Cálculos'!$L$9:$L$128,'Cálculos'!$C$9:$C$128,"&gt;="&amp;B142,'Cálculos'!$C$9:$C$128,"&lt;"&amp;MIN(EDATE(B142,1),'Configuración'!$C$7+1),'Cálculos'!$N$9:$N$128,'Resumen financiero'!$Q$4)),"")</f>
        <v/>
      </c>
      <c r="E142" s="1" t="str">
        <f t="shared" si="5"/>
        <v/>
      </c>
      <c r="F142" s="1" t="str">
        <f>IF(AND(EDATE(B142,1)&gt;'Configuración'!$C$6,B142&lt;='Configuración'!$C$7),IF('Resumen financiero'!$Q$4="Todas",SUM(tCuentas[Saldo inicial])+SUMIFS(tMovimientos[Importe],tMovimientos[Destino],"&lt;&gt;",tMovimientos[Fecha],"&gt;="&amp;'Configuración'!$C$6,tMovimientos[Fecha],"&lt;"&amp;MIN(EDATE(B142,1),'Configuración'!$C$7+1))-SUMIFS(tMovimientos[Importe],tMovimientos[Origen],"&lt;&gt;",tMovimientos[Fecha],"&gt;="&amp;'Configuración'!$C$6,tMovimientos[Fecha],"&lt;"&amp;MIN(EDATE(B142,1),'Configuración'!$C$7+1)),SUMIFS(tCuentas[Saldo inicial],tCuentas[Cuenta],'Resumen financiero'!$Q$4)+SUMIFS(tMovimientos[Importe],tMovimientos[Destino],'Resumen financiero'!$Q$4,tMovimientos[Fecha],"&gt;="&amp;'Configuración'!$C$6,tMovimientos[Fecha],"&lt;"&amp;MIN(EDATE(B142,1),'Configuración'!$C$7+1))-SUMIFS(tMovimientos[Importe],tMovimientos[Origen],'Resumen financiero'!$Q$4,tMovimientos[Fecha],"&gt;="&amp;'Configuración'!$C$6,tMovimientos[Fecha],"&lt;"&amp;MIN(EDATE(B142,1),'Configuración'!$C$7+1))),"")</f>
        <v/>
      </c>
      <c r="G142" s="1" t="str">
        <f t="shared" si="6"/>
        <v/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ht="24.75" customHeight="1">
      <c r="A143" s="1"/>
      <c r="B143" s="59">
        <f>DATE('Resumen financiero'!$E$4,9,1)</f>
        <v>46266</v>
      </c>
      <c r="C143" s="1" t="str">
        <f>IF(AND(EDATE(B143,1)&gt;'Configuración'!$C$6,B143&lt;='Configuración'!$C$7),IF('Resumen financiero'!$Q$4="Todas",SUMIFS('Cálculos'!$K$9:$K$128,'Cálculos'!$C$9:$C$128,"&gt;="&amp;B143,'Cálculos'!$C$9:$C$128,"&lt;"&amp;MIN(EDATE(B143,1),'Configuración'!$C$7+1)),SUMIFS('Cálculos'!$K$9:$K$128,'Cálculos'!$C$9:$C$128,"&gt;="&amp;B143,'Cálculos'!$C$9:$C$128,"&lt;"&amp;MIN(EDATE(B143,1),'Configuración'!$C$7+1),'Cálculos'!$N$9:$N$128,'Resumen financiero'!$Q$4)),"")</f>
        <v/>
      </c>
      <c r="D143" s="1" t="str">
        <f>IF(AND(EDATE(B143,1)&gt;'Configuración'!$C$6,B143&lt;='Configuración'!$C$7),IF('Resumen financiero'!$Q$4="Todas",SUMIFS('Cálculos'!$L$9:$L$128,'Cálculos'!$C$9:$C$128,"&gt;="&amp;B143,'Cálculos'!$C$9:$C$128,"&lt;"&amp;MIN(EDATE(B143,1),'Configuración'!$C$7+1)),SUMIFS('Cálculos'!$L$9:$L$128,'Cálculos'!$C$9:$C$128,"&gt;="&amp;B143,'Cálculos'!$C$9:$C$128,"&lt;"&amp;MIN(EDATE(B143,1),'Configuración'!$C$7+1),'Cálculos'!$N$9:$N$128,'Resumen financiero'!$Q$4)),"")</f>
        <v/>
      </c>
      <c r="E143" s="1" t="str">
        <f t="shared" si="5"/>
        <v/>
      </c>
      <c r="F143" s="39" t="str">
        <f>IF(AND(EDATE(B143,1)&gt;'Configuración'!$C$6,B143&lt;='Configuración'!$C$7),IF('Resumen financiero'!$Q$4="Todas",SUM(tCuentas[Saldo inicial])+SUMIFS(tMovimientos[Importe],tMovimientos[Destino],"&lt;&gt;",tMovimientos[Fecha],"&gt;="&amp;'Configuración'!$C$6,tMovimientos[Fecha],"&lt;"&amp;MIN(EDATE(B143,1),'Configuración'!$C$7+1))-SUMIFS(tMovimientos[Importe],tMovimientos[Origen],"&lt;&gt;",tMovimientos[Fecha],"&gt;="&amp;'Configuración'!$C$6,tMovimientos[Fecha],"&lt;"&amp;MIN(EDATE(B143,1),'Configuración'!$C$7+1)),SUMIFS(tCuentas[Saldo inicial],tCuentas[Cuenta],'Resumen financiero'!$Q$4)+SUMIFS(tMovimientos[Importe],tMovimientos[Destino],'Resumen financiero'!$Q$4,tMovimientos[Fecha],"&gt;="&amp;'Configuración'!$C$6,tMovimientos[Fecha],"&lt;"&amp;MIN(EDATE(B143,1),'Configuración'!$C$7+1))-SUMIFS(tMovimientos[Importe],tMovimientos[Origen],'Resumen financiero'!$Q$4,tMovimientos[Fecha],"&gt;="&amp;'Configuración'!$C$6,tMovimientos[Fecha],"&lt;"&amp;MIN(EDATE(B143,1),'Configuración'!$C$7+1))),"")</f>
        <v/>
      </c>
      <c r="G143" s="1" t="str">
        <f t="shared" si="6"/>
        <v/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ht="24.75" customHeight="1">
      <c r="A144" s="1"/>
      <c r="B144" s="59">
        <f>DATE('Resumen financiero'!$E$4,10,1)</f>
        <v>46296</v>
      </c>
      <c r="C144" s="1" t="str">
        <f>IF(AND(EDATE(B144,1)&gt;'Configuración'!$C$6,B144&lt;='Configuración'!$C$7),IF('Resumen financiero'!$Q$4="Todas",SUMIFS('Cálculos'!$K$9:$K$128,'Cálculos'!$C$9:$C$128,"&gt;="&amp;B144,'Cálculos'!$C$9:$C$128,"&lt;"&amp;MIN(EDATE(B144,1),'Configuración'!$C$7+1)),SUMIFS('Cálculos'!$K$9:$K$128,'Cálculos'!$C$9:$C$128,"&gt;="&amp;B144,'Cálculos'!$C$9:$C$128,"&lt;"&amp;MIN(EDATE(B144,1),'Configuración'!$C$7+1),'Cálculos'!$N$9:$N$128,'Resumen financiero'!$Q$4)),"")</f>
        <v/>
      </c>
      <c r="D144" s="1" t="str">
        <f>IF(AND(EDATE(B144,1)&gt;'Configuración'!$C$6,B144&lt;='Configuración'!$C$7),IF('Resumen financiero'!$Q$4="Todas",SUMIFS('Cálculos'!$L$9:$L$128,'Cálculos'!$C$9:$C$128,"&gt;="&amp;B144,'Cálculos'!$C$9:$C$128,"&lt;"&amp;MIN(EDATE(B144,1),'Configuración'!$C$7+1)),SUMIFS('Cálculos'!$L$9:$L$128,'Cálculos'!$C$9:$C$128,"&gt;="&amp;B144,'Cálculos'!$C$9:$C$128,"&lt;"&amp;MIN(EDATE(B144,1),'Configuración'!$C$7+1),'Cálculos'!$N$9:$N$128,'Resumen financiero'!$Q$4)),"")</f>
        <v/>
      </c>
      <c r="E144" s="1" t="str">
        <f t="shared" si="5"/>
        <v/>
      </c>
      <c r="F144" s="39" t="str">
        <f>IF(AND(EDATE(B144,1)&gt;'Configuración'!$C$6,B144&lt;='Configuración'!$C$7),IF('Resumen financiero'!$Q$4="Todas",SUM(tCuentas[Saldo inicial])+SUMIFS(tMovimientos[Importe],tMovimientos[Destino],"&lt;&gt;",tMovimientos[Fecha],"&gt;="&amp;'Configuración'!$C$6,tMovimientos[Fecha],"&lt;"&amp;MIN(EDATE(B144,1),'Configuración'!$C$7+1))-SUMIFS(tMovimientos[Importe],tMovimientos[Origen],"&lt;&gt;",tMovimientos[Fecha],"&gt;="&amp;'Configuración'!$C$6,tMovimientos[Fecha],"&lt;"&amp;MIN(EDATE(B144,1),'Configuración'!$C$7+1)),SUMIFS(tCuentas[Saldo inicial],tCuentas[Cuenta],'Resumen financiero'!$Q$4)+SUMIFS(tMovimientos[Importe],tMovimientos[Destino],'Resumen financiero'!$Q$4,tMovimientos[Fecha],"&gt;="&amp;'Configuración'!$C$6,tMovimientos[Fecha],"&lt;"&amp;MIN(EDATE(B144,1),'Configuración'!$C$7+1))-SUMIFS(tMovimientos[Importe],tMovimientos[Origen],'Resumen financiero'!$Q$4,tMovimientos[Fecha],"&gt;="&amp;'Configuración'!$C$6,tMovimientos[Fecha],"&lt;"&amp;MIN(EDATE(B144,1),'Configuración'!$C$7+1))),"")</f>
        <v/>
      </c>
      <c r="G144" s="1" t="str">
        <f t="shared" si="6"/>
        <v/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ht="24.75" customHeight="1">
      <c r="A145" s="1"/>
      <c r="B145" s="59">
        <f>DATE('Resumen financiero'!$E$4,11,1)</f>
        <v>46327</v>
      </c>
      <c r="C145" s="1" t="str">
        <f>IF(AND(EDATE(B145,1)&gt;'Configuración'!$C$6,B145&lt;='Configuración'!$C$7),IF('Resumen financiero'!$Q$4="Todas",SUMIFS('Cálculos'!$K$9:$K$128,'Cálculos'!$C$9:$C$128,"&gt;="&amp;B145,'Cálculos'!$C$9:$C$128,"&lt;"&amp;MIN(EDATE(B145,1),'Configuración'!$C$7+1)),SUMIFS('Cálculos'!$K$9:$K$128,'Cálculos'!$C$9:$C$128,"&gt;="&amp;B145,'Cálculos'!$C$9:$C$128,"&lt;"&amp;MIN(EDATE(B145,1),'Configuración'!$C$7+1),'Cálculos'!$N$9:$N$128,'Resumen financiero'!$Q$4)),"")</f>
        <v/>
      </c>
      <c r="D145" s="1" t="str">
        <f>IF(AND(EDATE(B145,1)&gt;'Configuración'!$C$6,B145&lt;='Configuración'!$C$7),IF('Resumen financiero'!$Q$4="Todas",SUMIFS('Cálculos'!$L$9:$L$128,'Cálculos'!$C$9:$C$128,"&gt;="&amp;B145,'Cálculos'!$C$9:$C$128,"&lt;"&amp;MIN(EDATE(B145,1),'Configuración'!$C$7+1)),SUMIFS('Cálculos'!$L$9:$L$128,'Cálculos'!$C$9:$C$128,"&gt;="&amp;B145,'Cálculos'!$C$9:$C$128,"&lt;"&amp;MIN(EDATE(B145,1),'Configuración'!$C$7+1),'Cálculos'!$N$9:$N$128,'Resumen financiero'!$Q$4)),"")</f>
        <v/>
      </c>
      <c r="E145" s="1" t="str">
        <f t="shared" si="5"/>
        <v/>
      </c>
      <c r="F145" s="1" t="str">
        <f>IF(AND(EDATE(B145,1)&gt;'Configuración'!$C$6,B145&lt;='Configuración'!$C$7),IF('Resumen financiero'!$Q$4="Todas",SUM(tCuentas[Saldo inicial])+SUMIFS(tMovimientos[Importe],tMovimientos[Destino],"&lt;&gt;",tMovimientos[Fecha],"&gt;="&amp;'Configuración'!$C$6,tMovimientos[Fecha],"&lt;"&amp;MIN(EDATE(B145,1),'Configuración'!$C$7+1))-SUMIFS(tMovimientos[Importe],tMovimientos[Origen],"&lt;&gt;",tMovimientos[Fecha],"&gt;="&amp;'Configuración'!$C$6,tMovimientos[Fecha],"&lt;"&amp;MIN(EDATE(B145,1),'Configuración'!$C$7+1)),SUMIFS(tCuentas[Saldo inicial],tCuentas[Cuenta],'Resumen financiero'!$Q$4)+SUMIFS(tMovimientos[Importe],tMovimientos[Destino],'Resumen financiero'!$Q$4,tMovimientos[Fecha],"&gt;="&amp;'Configuración'!$C$6,tMovimientos[Fecha],"&lt;"&amp;MIN(EDATE(B145,1),'Configuración'!$C$7+1))-SUMIFS(tMovimientos[Importe],tMovimientos[Origen],'Resumen financiero'!$Q$4,tMovimientos[Fecha],"&gt;="&amp;'Configuración'!$C$6,tMovimientos[Fecha],"&lt;"&amp;MIN(EDATE(B145,1),'Configuración'!$C$7+1))),"")</f>
        <v/>
      </c>
      <c r="G145" s="1" t="str">
        <f t="shared" si="6"/>
        <v/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ht="24.75" customHeight="1">
      <c r="A146" s="1"/>
      <c r="B146" s="59">
        <f>DATE('Resumen financiero'!$E$4,12,1)</f>
        <v>46357</v>
      </c>
      <c r="C146" s="1" t="str">
        <f>IF(AND(EDATE(B146,1)&gt;'Configuración'!$C$6,B146&lt;='Configuración'!$C$7),IF('Resumen financiero'!$Q$4="Todas",SUMIFS('Cálculos'!$K$9:$K$128,'Cálculos'!$C$9:$C$128,"&gt;="&amp;B146,'Cálculos'!$C$9:$C$128,"&lt;"&amp;MIN(EDATE(B146,1),'Configuración'!$C$7+1)),SUMIFS('Cálculos'!$K$9:$K$128,'Cálculos'!$C$9:$C$128,"&gt;="&amp;B146,'Cálculos'!$C$9:$C$128,"&lt;"&amp;MIN(EDATE(B146,1),'Configuración'!$C$7+1),'Cálculos'!$N$9:$N$128,'Resumen financiero'!$Q$4)),"")</f>
        <v/>
      </c>
      <c r="D146" s="1" t="str">
        <f>IF(AND(EDATE(B146,1)&gt;'Configuración'!$C$6,B146&lt;='Configuración'!$C$7),IF('Resumen financiero'!$Q$4="Todas",SUMIFS('Cálculos'!$L$9:$L$128,'Cálculos'!$C$9:$C$128,"&gt;="&amp;B146,'Cálculos'!$C$9:$C$128,"&lt;"&amp;MIN(EDATE(B146,1),'Configuración'!$C$7+1)),SUMIFS('Cálculos'!$L$9:$L$128,'Cálculos'!$C$9:$C$128,"&gt;="&amp;B146,'Cálculos'!$C$9:$C$128,"&lt;"&amp;MIN(EDATE(B146,1),'Configuración'!$C$7+1),'Cálculos'!$N$9:$N$128,'Resumen financiero'!$Q$4)),"")</f>
        <v/>
      </c>
      <c r="E146" s="1" t="str">
        <f t="shared" si="5"/>
        <v/>
      </c>
      <c r="F146" s="1" t="str">
        <f>IF(AND(EDATE(B146,1)&gt;'Configuración'!$C$6,B146&lt;='Configuración'!$C$7),IF('Resumen financiero'!$Q$4="Todas",SUM(tCuentas[Saldo inicial])+SUMIFS(tMovimientos[Importe],tMovimientos[Destino],"&lt;&gt;",tMovimientos[Fecha],"&gt;="&amp;'Configuración'!$C$6,tMovimientos[Fecha],"&lt;"&amp;MIN(EDATE(B146,1),'Configuración'!$C$7+1))-SUMIFS(tMovimientos[Importe],tMovimientos[Origen],"&lt;&gt;",tMovimientos[Fecha],"&gt;="&amp;'Configuración'!$C$6,tMovimientos[Fecha],"&lt;"&amp;MIN(EDATE(B146,1),'Configuración'!$C$7+1)),SUMIFS(tCuentas[Saldo inicial],tCuentas[Cuenta],'Resumen financiero'!$Q$4)+SUMIFS(tMovimientos[Importe],tMovimientos[Destino],'Resumen financiero'!$Q$4,tMovimientos[Fecha],"&gt;="&amp;'Configuración'!$C$6,tMovimientos[Fecha],"&lt;"&amp;MIN(EDATE(B146,1),'Configuración'!$C$7+1))-SUMIFS(tMovimientos[Importe],tMovimientos[Origen],'Resumen financiero'!$Q$4,tMovimientos[Fecha],"&gt;="&amp;'Configuración'!$C$6,tMovimientos[Fecha],"&lt;"&amp;MIN(EDATE(B146,1),'Configuración'!$C$7+1))),"")</f>
        <v/>
      </c>
      <c r="G146" s="1" t="str">
        <f t="shared" si="6"/>
        <v/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ht="24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ht="24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ht="24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ht="24.75" customHeight="1">
      <c r="A150" s="1"/>
      <c r="B150" s="1" t="s">
        <v>101</v>
      </c>
      <c r="C150" s="1" t="s">
        <v>120</v>
      </c>
      <c r="D150" s="1"/>
      <c r="E150" s="1" t="s">
        <v>101</v>
      </c>
      <c r="F150" s="1" t="s">
        <v>172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ht="24.75" customHeight="1">
      <c r="A151" s="1"/>
      <c r="B151" s="1" t="str">
        <f>IFERROR(__xludf.DUMMYFUNCTION("IFERROR(INDEX(UNIQUE(FILTER('Configuración'!$D$15:$D$134,'Configuración'!$B$15:$B$134=""Gastos"")),1),"""")"),"")</f>
        <v/>
      </c>
      <c r="C151" s="1" t="str">
        <f>IF(B151="","",IF('Resumen financiero'!$Q$4="Todas",SUMIFS('Cálculos'!$L$9:$L$128,'Cálculos'!$F$9:$F$128,B151,'Cálculos'!$C$9:$C$128,"&gt;="&amp;$C$4,'Cálculos'!$C$9:$C$128,"&lt;"&amp;$D$4),SUMIFS('Cálculos'!$L$9:$L$128,'Cálculos'!$F$9:$F$128,B151,'Cálculos'!$C$9:$C$128,"&gt;="&amp;$C$4,'Cálculos'!$C$9:$C$128,"&lt;"&amp;$D$4,'Cálculos'!$N$9:$N$128,'Resumen financiero'!$Q$4)))</f>
        <v/>
      </c>
      <c r="D151" s="1" t="str">
        <f t="shared" ref="D151:D270" si="7">""</f>
        <v/>
      </c>
      <c r="E151" s="1" t="str">
        <f>IFERROR(__xludf.DUMMYFUNCTION("IFERROR(INDEX(UNIQUE(FILTER('Configuración'!$D$15:$D$134,'Configuración'!$B$15:$B$134=""Gastos"")),1),"""")"),"")</f>
        <v/>
      </c>
      <c r="F151" s="1" t="str">
        <f t="shared" ref="F151:F270" si="8">IF(COUNT(C151)=0,"",MAX(0,C151))</f>
        <v/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ht="24.75" customHeight="1">
      <c r="A152" s="1"/>
      <c r="B152" s="1" t="str">
        <f>IFERROR(__xludf.DUMMYFUNCTION("IFERROR(INDEX(UNIQUE(FILTER('Configuración'!$D$15:$D$134,'Configuración'!$B$15:$B$134=""Gastos"")),2),"""")"),"")</f>
        <v/>
      </c>
      <c r="C152" s="1" t="str">
        <f>IF(B152="","",IF('Resumen financiero'!$Q$4="Todas",SUMIFS('Cálculos'!$L$9:$L$128,'Cálculos'!$F$9:$F$128,B152,'Cálculos'!$C$9:$C$128,"&gt;="&amp;$C$4,'Cálculos'!$C$9:$C$128,"&lt;"&amp;$D$4),SUMIFS('Cálculos'!$L$9:$L$128,'Cálculos'!$F$9:$F$128,B152,'Cálculos'!$C$9:$C$128,"&gt;="&amp;$C$4,'Cálculos'!$C$9:$C$128,"&lt;"&amp;$D$4,'Cálculos'!$N$9:$N$128,'Resumen financiero'!$Q$4)))</f>
        <v/>
      </c>
      <c r="D152" s="1" t="str">
        <f t="shared" si="7"/>
        <v/>
      </c>
      <c r="E152" s="1" t="str">
        <f>IFERROR(__xludf.DUMMYFUNCTION("IFERROR(INDEX(UNIQUE(FILTER('Configuración'!$D$15:$D$134,'Configuración'!$B$15:$B$134=""Gastos"")),2),"""")"),"")</f>
        <v/>
      </c>
      <c r="F152" s="1" t="str">
        <f t="shared" si="8"/>
        <v/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ht="24.75" customHeight="1">
      <c r="A153" s="1"/>
      <c r="B153" s="1" t="str">
        <f>IFERROR(__xludf.DUMMYFUNCTION("IFERROR(INDEX(UNIQUE(FILTER('Configuración'!$D$15:$D$134,'Configuración'!$B$15:$B$134=""Gastos"")),3),"""")"),"")</f>
        <v/>
      </c>
      <c r="C153" s="1" t="str">
        <f>IF(B153="","",IF('Resumen financiero'!$Q$4="Todas",SUMIFS('Cálculos'!$L$9:$L$128,'Cálculos'!$F$9:$F$128,B153,'Cálculos'!$C$9:$C$128,"&gt;="&amp;$C$4,'Cálculos'!$C$9:$C$128,"&lt;"&amp;$D$4),SUMIFS('Cálculos'!$L$9:$L$128,'Cálculos'!$F$9:$F$128,B153,'Cálculos'!$C$9:$C$128,"&gt;="&amp;$C$4,'Cálculos'!$C$9:$C$128,"&lt;"&amp;$D$4,'Cálculos'!$N$9:$N$128,'Resumen financiero'!$Q$4)))</f>
        <v/>
      </c>
      <c r="D153" s="1" t="str">
        <f t="shared" si="7"/>
        <v/>
      </c>
      <c r="E153" s="1" t="str">
        <f>IFERROR(__xludf.DUMMYFUNCTION("IFERROR(INDEX(UNIQUE(FILTER('Configuración'!$D$15:$D$134,'Configuración'!$B$15:$B$134=""Gastos"")),3),"""")"),"")</f>
        <v/>
      </c>
      <c r="F153" s="1" t="str">
        <f t="shared" si="8"/>
        <v/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ht="24.75" customHeight="1">
      <c r="A154" s="1"/>
      <c r="B154" s="1" t="str">
        <f>IFERROR(__xludf.DUMMYFUNCTION("IFERROR(INDEX(UNIQUE(FILTER('Configuración'!$D$15:$D$134,'Configuración'!$B$15:$B$134=""Gastos"")),4),"""")"),"")</f>
        <v/>
      </c>
      <c r="C154" s="1" t="str">
        <f>IF(B154="","",IF('Resumen financiero'!$Q$4="Todas",SUMIFS('Cálculos'!$L$9:$L$128,'Cálculos'!$F$9:$F$128,B154,'Cálculos'!$C$9:$C$128,"&gt;="&amp;$C$4,'Cálculos'!$C$9:$C$128,"&lt;"&amp;$D$4),SUMIFS('Cálculos'!$L$9:$L$128,'Cálculos'!$F$9:$F$128,B154,'Cálculos'!$C$9:$C$128,"&gt;="&amp;$C$4,'Cálculos'!$C$9:$C$128,"&lt;"&amp;$D$4,'Cálculos'!$N$9:$N$128,'Resumen financiero'!$Q$4)))</f>
        <v/>
      </c>
      <c r="D154" s="1" t="str">
        <f t="shared" si="7"/>
        <v/>
      </c>
      <c r="E154" s="1" t="str">
        <f>IFERROR(__xludf.DUMMYFUNCTION("IFERROR(INDEX(UNIQUE(FILTER('Configuración'!$D$15:$D$134,'Configuración'!$B$15:$B$134=""Gastos"")),4),"""")"),"")</f>
        <v/>
      </c>
      <c r="F154" s="1" t="str">
        <f t="shared" si="8"/>
        <v/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ht="24.75" customHeight="1">
      <c r="A155" s="1"/>
      <c r="B155" s="1" t="str">
        <f>IFERROR(__xludf.DUMMYFUNCTION("IFERROR(INDEX(UNIQUE(FILTER('Configuración'!$D$15:$D$134,'Configuración'!$B$15:$B$134=""Gastos"")),5),"""")"),"")</f>
        <v/>
      </c>
      <c r="C155" s="1" t="str">
        <f>IF(B155="","",IF('Resumen financiero'!$Q$4="Todas",SUMIFS('Cálculos'!$L$9:$L$128,'Cálculos'!$F$9:$F$128,B155,'Cálculos'!$C$9:$C$128,"&gt;="&amp;$C$4,'Cálculos'!$C$9:$C$128,"&lt;"&amp;$D$4),SUMIFS('Cálculos'!$L$9:$L$128,'Cálculos'!$F$9:$F$128,B155,'Cálculos'!$C$9:$C$128,"&gt;="&amp;$C$4,'Cálculos'!$C$9:$C$128,"&lt;"&amp;$D$4,'Cálculos'!$N$9:$N$128,'Resumen financiero'!$Q$4)))</f>
        <v/>
      </c>
      <c r="D155" s="1" t="str">
        <f t="shared" si="7"/>
        <v/>
      </c>
      <c r="E155" s="1" t="str">
        <f>IFERROR(__xludf.DUMMYFUNCTION("IFERROR(INDEX(UNIQUE(FILTER('Configuración'!$D$15:$D$134,'Configuración'!$B$15:$B$134=""Gastos"")),5),"""")"),"")</f>
        <v/>
      </c>
      <c r="F155" s="1" t="str">
        <f t="shared" si="8"/>
        <v/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ht="24.75" customHeight="1">
      <c r="A156" s="1"/>
      <c r="B156" s="1" t="str">
        <f>IFERROR(__xludf.DUMMYFUNCTION("IFERROR(INDEX(UNIQUE(FILTER('Configuración'!$D$15:$D$134,'Configuración'!$B$15:$B$134=""Gastos"")),6),"""")"),"")</f>
        <v/>
      </c>
      <c r="C156" s="1" t="str">
        <f>IF(B156="","",IF('Resumen financiero'!$Q$4="Todas",SUMIFS('Cálculos'!$L$9:$L$128,'Cálculos'!$F$9:$F$128,B156,'Cálculos'!$C$9:$C$128,"&gt;="&amp;$C$4,'Cálculos'!$C$9:$C$128,"&lt;"&amp;$D$4),SUMIFS('Cálculos'!$L$9:$L$128,'Cálculos'!$F$9:$F$128,B156,'Cálculos'!$C$9:$C$128,"&gt;="&amp;$C$4,'Cálculos'!$C$9:$C$128,"&lt;"&amp;$D$4,'Cálculos'!$N$9:$N$128,'Resumen financiero'!$Q$4)))</f>
        <v/>
      </c>
      <c r="D156" s="1" t="str">
        <f t="shared" si="7"/>
        <v/>
      </c>
      <c r="E156" s="1" t="str">
        <f>IFERROR(__xludf.DUMMYFUNCTION("IFERROR(INDEX(UNIQUE(FILTER('Configuración'!$D$15:$D$134,'Configuración'!$B$15:$B$134=""Gastos"")),6),"""")"),"")</f>
        <v/>
      </c>
      <c r="F156" s="1" t="str">
        <f t="shared" si="8"/>
        <v/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ht="24.75" customHeight="1">
      <c r="A157" s="1"/>
      <c r="B157" s="1" t="str">
        <f>IFERROR(__xludf.DUMMYFUNCTION("IFERROR(INDEX(UNIQUE(FILTER('Configuración'!$D$15:$D$134,'Configuración'!$B$15:$B$134=""Gastos"")),7),"""")"),"")</f>
        <v/>
      </c>
      <c r="C157" s="1" t="str">
        <f>IF(B157="","",IF('Resumen financiero'!$Q$4="Todas",SUMIFS('Cálculos'!$L$9:$L$128,'Cálculos'!$F$9:$F$128,B157,'Cálculos'!$C$9:$C$128,"&gt;="&amp;$C$4,'Cálculos'!$C$9:$C$128,"&lt;"&amp;$D$4),SUMIFS('Cálculos'!$L$9:$L$128,'Cálculos'!$F$9:$F$128,B157,'Cálculos'!$C$9:$C$128,"&gt;="&amp;$C$4,'Cálculos'!$C$9:$C$128,"&lt;"&amp;$D$4,'Cálculos'!$N$9:$N$128,'Resumen financiero'!$Q$4)))</f>
        <v/>
      </c>
      <c r="D157" s="1" t="str">
        <f t="shared" si="7"/>
        <v/>
      </c>
      <c r="E157" s="1" t="str">
        <f>IFERROR(__xludf.DUMMYFUNCTION("IFERROR(INDEX(UNIQUE(FILTER('Configuración'!$D$15:$D$134,'Configuración'!$B$15:$B$134=""Gastos"")),7),"""")"),"")</f>
        <v/>
      </c>
      <c r="F157" s="1" t="str">
        <f t="shared" si="8"/>
        <v/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ht="24.75" customHeight="1">
      <c r="A158" s="1"/>
      <c r="B158" s="1" t="str">
        <f>IFERROR(__xludf.DUMMYFUNCTION("IFERROR(INDEX(UNIQUE(FILTER('Configuración'!$D$15:$D$134,'Configuración'!$B$15:$B$134=""Gastos"")),8),"""")"),"")</f>
        <v/>
      </c>
      <c r="C158" s="1" t="str">
        <f>IF(B158="","",IF('Resumen financiero'!$Q$4="Todas",SUMIFS('Cálculos'!$L$9:$L$128,'Cálculos'!$F$9:$F$128,B158,'Cálculos'!$C$9:$C$128,"&gt;="&amp;$C$4,'Cálculos'!$C$9:$C$128,"&lt;"&amp;$D$4),SUMIFS('Cálculos'!$L$9:$L$128,'Cálculos'!$F$9:$F$128,B158,'Cálculos'!$C$9:$C$128,"&gt;="&amp;$C$4,'Cálculos'!$C$9:$C$128,"&lt;"&amp;$D$4,'Cálculos'!$N$9:$N$128,'Resumen financiero'!$Q$4)))</f>
        <v/>
      </c>
      <c r="D158" s="1" t="str">
        <f t="shared" si="7"/>
        <v/>
      </c>
      <c r="E158" s="1" t="str">
        <f>IFERROR(__xludf.DUMMYFUNCTION("IFERROR(INDEX(UNIQUE(FILTER('Configuración'!$D$15:$D$134,'Configuración'!$B$15:$B$134=""Gastos"")),8),"""")"),"")</f>
        <v/>
      </c>
      <c r="F158" s="1" t="str">
        <f t="shared" si="8"/>
        <v/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ht="24.75" customHeight="1">
      <c r="A159" s="1"/>
      <c r="B159" s="1" t="str">
        <f>IFERROR(__xludf.DUMMYFUNCTION("IFERROR(INDEX(UNIQUE(FILTER('Configuración'!$D$15:$D$134,'Configuración'!$B$15:$B$134=""Gastos"")),9),"""")"),"")</f>
        <v/>
      </c>
      <c r="C159" s="1" t="str">
        <f>IF(B159="","",IF('Resumen financiero'!$Q$4="Todas",SUMIFS('Cálculos'!$L$9:$L$128,'Cálculos'!$F$9:$F$128,B159,'Cálculos'!$C$9:$C$128,"&gt;="&amp;$C$4,'Cálculos'!$C$9:$C$128,"&lt;"&amp;$D$4),SUMIFS('Cálculos'!$L$9:$L$128,'Cálculos'!$F$9:$F$128,B159,'Cálculos'!$C$9:$C$128,"&gt;="&amp;$C$4,'Cálculos'!$C$9:$C$128,"&lt;"&amp;$D$4,'Cálculos'!$N$9:$N$128,'Resumen financiero'!$Q$4)))</f>
        <v/>
      </c>
      <c r="D159" s="1" t="str">
        <f t="shared" si="7"/>
        <v/>
      </c>
      <c r="E159" s="1" t="str">
        <f>IFERROR(__xludf.DUMMYFUNCTION("IFERROR(INDEX(UNIQUE(FILTER('Configuración'!$D$15:$D$134,'Configuración'!$B$15:$B$134=""Gastos"")),9),"""")"),"")</f>
        <v/>
      </c>
      <c r="F159" s="1" t="str">
        <f t="shared" si="8"/>
        <v/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ht="24.75" customHeight="1">
      <c r="A160" s="1"/>
      <c r="B160" s="1" t="str">
        <f>IFERROR(__xludf.DUMMYFUNCTION("IFERROR(INDEX(UNIQUE(FILTER('Configuración'!$D$15:$D$134,'Configuración'!$B$15:$B$134=""Gastos"")),10),"""")"),"")</f>
        <v/>
      </c>
      <c r="C160" s="1" t="str">
        <f>IF(B160="","",IF('Resumen financiero'!$Q$4="Todas",SUMIFS('Cálculos'!$L$9:$L$128,'Cálculos'!$F$9:$F$128,B160,'Cálculos'!$C$9:$C$128,"&gt;="&amp;$C$4,'Cálculos'!$C$9:$C$128,"&lt;"&amp;$D$4),SUMIFS('Cálculos'!$L$9:$L$128,'Cálculos'!$F$9:$F$128,B160,'Cálculos'!$C$9:$C$128,"&gt;="&amp;$C$4,'Cálculos'!$C$9:$C$128,"&lt;"&amp;$D$4,'Cálculos'!$N$9:$N$128,'Resumen financiero'!$Q$4)))</f>
        <v/>
      </c>
      <c r="D160" s="1" t="str">
        <f t="shared" si="7"/>
        <v/>
      </c>
      <c r="E160" s="1" t="str">
        <f>IFERROR(__xludf.DUMMYFUNCTION("IFERROR(INDEX(UNIQUE(FILTER('Configuración'!$D$15:$D$134,'Configuración'!$B$15:$B$134=""Gastos"")),10),"""")"),"")</f>
        <v/>
      </c>
      <c r="F160" s="1" t="str">
        <f t="shared" si="8"/>
        <v/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ht="24.75" customHeight="1">
      <c r="A161" s="1"/>
      <c r="B161" s="1" t="str">
        <f>IFERROR(__xludf.DUMMYFUNCTION("IFERROR(INDEX(UNIQUE(FILTER('Configuración'!$D$15:$D$134,'Configuración'!$B$15:$B$134=""Gastos"")),11),"""")"),"")</f>
        <v/>
      </c>
      <c r="C161" s="1" t="str">
        <f>IF(B161="","",IF('Resumen financiero'!$Q$4="Todas",SUMIFS('Cálculos'!$L$9:$L$128,'Cálculos'!$F$9:$F$128,B161,'Cálculos'!$C$9:$C$128,"&gt;="&amp;$C$4,'Cálculos'!$C$9:$C$128,"&lt;"&amp;$D$4),SUMIFS('Cálculos'!$L$9:$L$128,'Cálculos'!$F$9:$F$128,B161,'Cálculos'!$C$9:$C$128,"&gt;="&amp;$C$4,'Cálculos'!$C$9:$C$128,"&lt;"&amp;$D$4,'Cálculos'!$N$9:$N$128,'Resumen financiero'!$Q$4)))</f>
        <v/>
      </c>
      <c r="D161" s="1" t="str">
        <f t="shared" si="7"/>
        <v/>
      </c>
      <c r="E161" s="1" t="str">
        <f>IFERROR(__xludf.DUMMYFUNCTION("IFERROR(INDEX(UNIQUE(FILTER('Configuración'!$D$15:$D$134,'Configuración'!$B$15:$B$134=""Gastos"")),11),"""")"),"")</f>
        <v/>
      </c>
      <c r="F161" s="1" t="str">
        <f t="shared" si="8"/>
        <v/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ht="24.75" customHeight="1">
      <c r="A162" s="1"/>
      <c r="B162" s="1" t="str">
        <f>IFERROR(__xludf.DUMMYFUNCTION("IFERROR(INDEX(UNIQUE(FILTER('Configuración'!$D$15:$D$134,'Configuración'!$B$15:$B$134=""Gastos"")),12),"""")"),"")</f>
        <v/>
      </c>
      <c r="C162" s="1" t="str">
        <f>IF(B162="","",IF('Resumen financiero'!$Q$4="Todas",SUMIFS('Cálculos'!$L$9:$L$128,'Cálculos'!$F$9:$F$128,B162,'Cálculos'!$C$9:$C$128,"&gt;="&amp;$C$4,'Cálculos'!$C$9:$C$128,"&lt;"&amp;$D$4),SUMIFS('Cálculos'!$L$9:$L$128,'Cálculos'!$F$9:$F$128,B162,'Cálculos'!$C$9:$C$128,"&gt;="&amp;$C$4,'Cálculos'!$C$9:$C$128,"&lt;"&amp;$D$4,'Cálculos'!$N$9:$N$128,'Resumen financiero'!$Q$4)))</f>
        <v/>
      </c>
      <c r="D162" s="1" t="str">
        <f t="shared" si="7"/>
        <v/>
      </c>
      <c r="E162" s="1" t="str">
        <f>IFERROR(__xludf.DUMMYFUNCTION("IFERROR(INDEX(UNIQUE(FILTER('Configuración'!$D$15:$D$134,'Configuración'!$B$15:$B$134=""Gastos"")),12),"""")"),"")</f>
        <v/>
      </c>
      <c r="F162" s="1" t="str">
        <f t="shared" si="8"/>
        <v/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ht="24.75" customHeight="1">
      <c r="A163" s="1"/>
      <c r="B163" s="1" t="str">
        <f>IFERROR(__xludf.DUMMYFUNCTION("IFERROR(INDEX(UNIQUE(FILTER('Configuración'!$D$15:$D$134,'Configuración'!$B$15:$B$134=""Gastos"")),13),"""")"),"")</f>
        <v/>
      </c>
      <c r="C163" s="1" t="str">
        <f>IF(B163="","",IF('Resumen financiero'!$Q$4="Todas",SUMIFS('Cálculos'!$L$9:$L$128,'Cálculos'!$F$9:$F$128,B163,'Cálculos'!$C$9:$C$128,"&gt;="&amp;$C$4,'Cálculos'!$C$9:$C$128,"&lt;"&amp;$D$4),SUMIFS('Cálculos'!$L$9:$L$128,'Cálculos'!$F$9:$F$128,B163,'Cálculos'!$C$9:$C$128,"&gt;="&amp;$C$4,'Cálculos'!$C$9:$C$128,"&lt;"&amp;$D$4,'Cálculos'!$N$9:$N$128,'Resumen financiero'!$Q$4)))</f>
        <v/>
      </c>
      <c r="D163" s="1" t="str">
        <f t="shared" si="7"/>
        <v/>
      </c>
      <c r="E163" s="1" t="str">
        <f>IFERROR(__xludf.DUMMYFUNCTION("IFERROR(INDEX(UNIQUE(FILTER('Configuración'!$D$15:$D$134,'Configuración'!$B$15:$B$134=""Gastos"")),13),"""")"),"")</f>
        <v/>
      </c>
      <c r="F163" s="1" t="str">
        <f t="shared" si="8"/>
        <v/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ht="24.75" customHeight="1">
      <c r="A164" s="1"/>
      <c r="B164" s="1" t="str">
        <f>IFERROR(__xludf.DUMMYFUNCTION("IFERROR(INDEX(UNIQUE(FILTER('Configuración'!$D$15:$D$134,'Configuración'!$B$15:$B$134=""Gastos"")),14),"""")"),"")</f>
        <v/>
      </c>
      <c r="C164" s="1" t="str">
        <f>IF(B164="","",IF('Resumen financiero'!$Q$4="Todas",SUMIFS('Cálculos'!$L$9:$L$128,'Cálculos'!$F$9:$F$128,B164,'Cálculos'!$C$9:$C$128,"&gt;="&amp;$C$4,'Cálculos'!$C$9:$C$128,"&lt;"&amp;$D$4),SUMIFS('Cálculos'!$L$9:$L$128,'Cálculos'!$F$9:$F$128,B164,'Cálculos'!$C$9:$C$128,"&gt;="&amp;$C$4,'Cálculos'!$C$9:$C$128,"&lt;"&amp;$D$4,'Cálculos'!$N$9:$N$128,'Resumen financiero'!$Q$4)))</f>
        <v/>
      </c>
      <c r="D164" s="1" t="str">
        <f t="shared" si="7"/>
        <v/>
      </c>
      <c r="E164" s="1" t="str">
        <f>IFERROR(__xludf.DUMMYFUNCTION("IFERROR(INDEX(UNIQUE(FILTER('Configuración'!$D$15:$D$134,'Configuración'!$B$15:$B$134=""Gastos"")),14),"""")"),"")</f>
        <v/>
      </c>
      <c r="F164" s="1" t="str">
        <f t="shared" si="8"/>
        <v/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ht="24.75" customHeight="1">
      <c r="A165" s="1"/>
      <c r="B165" s="1" t="str">
        <f>IFERROR(__xludf.DUMMYFUNCTION("IFERROR(INDEX(UNIQUE(FILTER('Configuración'!$D$15:$D$134,'Configuración'!$B$15:$B$134=""Gastos"")),15),"""")"),"")</f>
        <v/>
      </c>
      <c r="C165" s="1" t="str">
        <f>IF(B165="","",IF('Resumen financiero'!$Q$4="Todas",SUMIFS('Cálculos'!$L$9:$L$128,'Cálculos'!$F$9:$F$128,B165,'Cálculos'!$C$9:$C$128,"&gt;="&amp;$C$4,'Cálculos'!$C$9:$C$128,"&lt;"&amp;$D$4),SUMIFS('Cálculos'!$L$9:$L$128,'Cálculos'!$F$9:$F$128,B165,'Cálculos'!$C$9:$C$128,"&gt;="&amp;$C$4,'Cálculos'!$C$9:$C$128,"&lt;"&amp;$D$4,'Cálculos'!$N$9:$N$128,'Resumen financiero'!$Q$4)))</f>
        <v/>
      </c>
      <c r="D165" s="1" t="str">
        <f t="shared" si="7"/>
        <v/>
      </c>
      <c r="E165" s="1" t="str">
        <f>IFERROR(__xludf.DUMMYFUNCTION("IFERROR(INDEX(UNIQUE(FILTER('Configuración'!$D$15:$D$134,'Configuración'!$B$15:$B$134=""Gastos"")),15),"""")"),"")</f>
        <v/>
      </c>
      <c r="F165" s="1" t="str">
        <f t="shared" si="8"/>
        <v/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ht="24.75" customHeight="1">
      <c r="A166" s="1"/>
      <c r="B166" s="1" t="str">
        <f>IFERROR(__xludf.DUMMYFUNCTION("IFERROR(INDEX(UNIQUE(FILTER('Configuración'!$D$15:$D$134,'Configuración'!$B$15:$B$134=""Gastos"")),16),"""")"),"")</f>
        <v/>
      </c>
      <c r="C166" s="1" t="str">
        <f>IF(B166="","",IF('Resumen financiero'!$Q$4="Todas",SUMIFS('Cálculos'!$L$9:$L$128,'Cálculos'!$F$9:$F$128,B166,'Cálculos'!$C$9:$C$128,"&gt;="&amp;$C$4,'Cálculos'!$C$9:$C$128,"&lt;"&amp;$D$4),SUMIFS('Cálculos'!$L$9:$L$128,'Cálculos'!$F$9:$F$128,B166,'Cálculos'!$C$9:$C$128,"&gt;="&amp;$C$4,'Cálculos'!$C$9:$C$128,"&lt;"&amp;$D$4,'Cálculos'!$N$9:$N$128,'Resumen financiero'!$Q$4)))</f>
        <v/>
      </c>
      <c r="D166" s="1" t="str">
        <f t="shared" si="7"/>
        <v/>
      </c>
      <c r="E166" s="1" t="str">
        <f>IFERROR(__xludf.DUMMYFUNCTION("IFERROR(INDEX(UNIQUE(FILTER('Configuración'!$D$15:$D$134,'Configuración'!$B$15:$B$134=""Gastos"")),16),"""")"),"")</f>
        <v/>
      </c>
      <c r="F166" s="1" t="str">
        <f t="shared" si="8"/>
        <v/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ht="24.75" customHeight="1">
      <c r="A167" s="1"/>
      <c r="B167" s="1" t="str">
        <f>IFERROR(__xludf.DUMMYFUNCTION("IFERROR(INDEX(UNIQUE(FILTER('Configuración'!$D$15:$D$134,'Configuración'!$B$15:$B$134=""Gastos"")),17),"""")"),"")</f>
        <v/>
      </c>
      <c r="C167" s="1" t="str">
        <f>IF(B167="","",IF('Resumen financiero'!$Q$4="Todas",SUMIFS('Cálculos'!$L$9:$L$128,'Cálculos'!$F$9:$F$128,B167,'Cálculos'!$C$9:$C$128,"&gt;="&amp;$C$4,'Cálculos'!$C$9:$C$128,"&lt;"&amp;$D$4),SUMIFS('Cálculos'!$L$9:$L$128,'Cálculos'!$F$9:$F$128,B167,'Cálculos'!$C$9:$C$128,"&gt;="&amp;$C$4,'Cálculos'!$C$9:$C$128,"&lt;"&amp;$D$4,'Cálculos'!$N$9:$N$128,'Resumen financiero'!$Q$4)))</f>
        <v/>
      </c>
      <c r="D167" s="1" t="str">
        <f t="shared" si="7"/>
        <v/>
      </c>
      <c r="E167" s="1" t="str">
        <f>IFERROR(__xludf.DUMMYFUNCTION("IFERROR(INDEX(UNIQUE(FILTER('Configuración'!$D$15:$D$134,'Configuración'!$B$15:$B$134=""Gastos"")),17),"""")"),"")</f>
        <v/>
      </c>
      <c r="F167" s="1" t="str">
        <f t="shared" si="8"/>
        <v/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ht="24.75" customHeight="1">
      <c r="A168" s="1"/>
      <c r="B168" s="1" t="str">
        <f>IFERROR(__xludf.DUMMYFUNCTION("IFERROR(INDEX(UNIQUE(FILTER('Configuración'!$D$15:$D$134,'Configuración'!$B$15:$B$134=""Gastos"")),18),"""")"),"")</f>
        <v/>
      </c>
      <c r="C168" s="1" t="str">
        <f>IF(B168="","",IF('Resumen financiero'!$Q$4="Todas",SUMIFS('Cálculos'!$L$9:$L$128,'Cálculos'!$F$9:$F$128,B168,'Cálculos'!$C$9:$C$128,"&gt;="&amp;$C$4,'Cálculos'!$C$9:$C$128,"&lt;"&amp;$D$4),SUMIFS('Cálculos'!$L$9:$L$128,'Cálculos'!$F$9:$F$128,B168,'Cálculos'!$C$9:$C$128,"&gt;="&amp;$C$4,'Cálculos'!$C$9:$C$128,"&lt;"&amp;$D$4,'Cálculos'!$N$9:$N$128,'Resumen financiero'!$Q$4)))</f>
        <v/>
      </c>
      <c r="D168" s="1" t="str">
        <f t="shared" si="7"/>
        <v/>
      </c>
      <c r="E168" s="1" t="str">
        <f>IFERROR(__xludf.DUMMYFUNCTION("IFERROR(INDEX(UNIQUE(FILTER('Configuración'!$D$15:$D$134,'Configuración'!$B$15:$B$134=""Gastos"")),18),"""")"),"")</f>
        <v/>
      </c>
      <c r="F168" s="1" t="str">
        <f t="shared" si="8"/>
        <v/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ht="24.75" customHeight="1">
      <c r="A169" s="1"/>
      <c r="B169" s="1" t="str">
        <f>IFERROR(__xludf.DUMMYFUNCTION("IFERROR(INDEX(UNIQUE(FILTER('Configuración'!$D$15:$D$134,'Configuración'!$B$15:$B$134=""Gastos"")),19),"""")"),"")</f>
        <v/>
      </c>
      <c r="C169" s="1" t="str">
        <f>IF(B169="","",IF('Resumen financiero'!$Q$4="Todas",SUMIFS('Cálculos'!$L$9:$L$128,'Cálculos'!$F$9:$F$128,B169,'Cálculos'!$C$9:$C$128,"&gt;="&amp;$C$4,'Cálculos'!$C$9:$C$128,"&lt;"&amp;$D$4),SUMIFS('Cálculos'!$L$9:$L$128,'Cálculos'!$F$9:$F$128,B169,'Cálculos'!$C$9:$C$128,"&gt;="&amp;$C$4,'Cálculos'!$C$9:$C$128,"&lt;"&amp;$D$4,'Cálculos'!$N$9:$N$128,'Resumen financiero'!$Q$4)))</f>
        <v/>
      </c>
      <c r="D169" s="1" t="str">
        <f t="shared" si="7"/>
        <v/>
      </c>
      <c r="E169" s="1" t="str">
        <f>IFERROR(__xludf.DUMMYFUNCTION("IFERROR(INDEX(UNIQUE(FILTER('Configuración'!$D$15:$D$134,'Configuración'!$B$15:$B$134=""Gastos"")),19),"""")"),"")</f>
        <v/>
      </c>
      <c r="F169" s="1" t="str">
        <f t="shared" si="8"/>
        <v/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ht="24.75" customHeight="1">
      <c r="A170" s="1"/>
      <c r="B170" s="1" t="str">
        <f>IFERROR(__xludf.DUMMYFUNCTION("IFERROR(INDEX(UNIQUE(FILTER('Configuración'!$D$15:$D$134,'Configuración'!$B$15:$B$134=""Gastos"")),20),"""")"),"")</f>
        <v/>
      </c>
      <c r="C170" s="1" t="str">
        <f>IF(B170="","",IF('Resumen financiero'!$Q$4="Todas",SUMIFS('Cálculos'!$L$9:$L$128,'Cálculos'!$F$9:$F$128,B170,'Cálculos'!$C$9:$C$128,"&gt;="&amp;$C$4,'Cálculos'!$C$9:$C$128,"&lt;"&amp;$D$4),SUMIFS('Cálculos'!$L$9:$L$128,'Cálculos'!$F$9:$F$128,B170,'Cálculos'!$C$9:$C$128,"&gt;="&amp;$C$4,'Cálculos'!$C$9:$C$128,"&lt;"&amp;$D$4,'Cálculos'!$N$9:$N$128,'Resumen financiero'!$Q$4)))</f>
        <v/>
      </c>
      <c r="D170" s="1" t="str">
        <f t="shared" si="7"/>
        <v/>
      </c>
      <c r="E170" s="1" t="str">
        <f>IFERROR(__xludf.DUMMYFUNCTION("IFERROR(INDEX(UNIQUE(FILTER('Configuración'!$D$15:$D$134,'Configuración'!$B$15:$B$134=""Gastos"")),20),"""")"),"")</f>
        <v/>
      </c>
      <c r="F170" s="1" t="str">
        <f t="shared" si="8"/>
        <v/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ht="24.75" customHeight="1">
      <c r="A171" s="1"/>
      <c r="B171" s="1" t="str">
        <f>IFERROR(__xludf.DUMMYFUNCTION("IFERROR(INDEX(UNIQUE(FILTER('Configuración'!$D$15:$D$134,'Configuración'!$B$15:$B$134=""Gastos"")),21),"""")"),"")</f>
        <v/>
      </c>
      <c r="C171" s="1" t="str">
        <f>IF(B171="","",IF('Resumen financiero'!$Q$4="Todas",SUMIFS('Cálculos'!$L$9:$L$128,'Cálculos'!$F$9:$F$128,B171,'Cálculos'!$C$9:$C$128,"&gt;="&amp;$C$4,'Cálculos'!$C$9:$C$128,"&lt;"&amp;$D$4),SUMIFS('Cálculos'!$L$9:$L$128,'Cálculos'!$F$9:$F$128,B171,'Cálculos'!$C$9:$C$128,"&gt;="&amp;$C$4,'Cálculos'!$C$9:$C$128,"&lt;"&amp;$D$4,'Cálculos'!$N$9:$N$128,'Resumen financiero'!$Q$4)))</f>
        <v/>
      </c>
      <c r="D171" s="1" t="str">
        <f t="shared" si="7"/>
        <v/>
      </c>
      <c r="E171" s="1" t="str">
        <f>IFERROR(__xludf.DUMMYFUNCTION("IFERROR(INDEX(UNIQUE(FILTER('Configuración'!$D$15:$D$134,'Configuración'!$B$15:$B$134=""Gastos"")),21),"""")"),"")</f>
        <v/>
      </c>
      <c r="F171" s="1" t="str">
        <f t="shared" si="8"/>
        <v/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ht="24.75" customHeight="1">
      <c r="A172" s="1"/>
      <c r="B172" s="1" t="str">
        <f>IFERROR(__xludf.DUMMYFUNCTION("IFERROR(INDEX(UNIQUE(FILTER('Configuración'!$D$15:$D$134,'Configuración'!$B$15:$B$134=""Gastos"")),22),"""")"),"")</f>
        <v/>
      </c>
      <c r="C172" s="1" t="str">
        <f>IF(B172="","",IF('Resumen financiero'!$Q$4="Todas",SUMIFS('Cálculos'!$L$9:$L$128,'Cálculos'!$F$9:$F$128,B172,'Cálculos'!$C$9:$C$128,"&gt;="&amp;$C$4,'Cálculos'!$C$9:$C$128,"&lt;"&amp;$D$4),SUMIFS('Cálculos'!$L$9:$L$128,'Cálculos'!$F$9:$F$128,B172,'Cálculos'!$C$9:$C$128,"&gt;="&amp;$C$4,'Cálculos'!$C$9:$C$128,"&lt;"&amp;$D$4,'Cálculos'!$N$9:$N$128,'Resumen financiero'!$Q$4)))</f>
        <v/>
      </c>
      <c r="D172" s="1" t="str">
        <f t="shared" si="7"/>
        <v/>
      </c>
      <c r="E172" s="1" t="str">
        <f>IFERROR(__xludf.DUMMYFUNCTION("IFERROR(INDEX(UNIQUE(FILTER('Configuración'!$D$15:$D$134,'Configuración'!$B$15:$B$134=""Gastos"")),22),"""")"),"")</f>
        <v/>
      </c>
      <c r="F172" s="1" t="str">
        <f t="shared" si="8"/>
        <v/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ht="24.75" customHeight="1">
      <c r="A173" s="1"/>
      <c r="B173" s="1" t="str">
        <f>IFERROR(__xludf.DUMMYFUNCTION("IFERROR(INDEX(UNIQUE(FILTER('Configuración'!$D$15:$D$134,'Configuración'!$B$15:$B$134=""Gastos"")),23),"""")"),"")</f>
        <v/>
      </c>
      <c r="C173" s="1" t="str">
        <f>IF(B173="","",IF('Resumen financiero'!$Q$4="Todas",SUMIFS('Cálculos'!$L$9:$L$128,'Cálculos'!$F$9:$F$128,B173,'Cálculos'!$C$9:$C$128,"&gt;="&amp;$C$4,'Cálculos'!$C$9:$C$128,"&lt;"&amp;$D$4),SUMIFS('Cálculos'!$L$9:$L$128,'Cálculos'!$F$9:$F$128,B173,'Cálculos'!$C$9:$C$128,"&gt;="&amp;$C$4,'Cálculos'!$C$9:$C$128,"&lt;"&amp;$D$4,'Cálculos'!$N$9:$N$128,'Resumen financiero'!$Q$4)))</f>
        <v/>
      </c>
      <c r="D173" s="1" t="str">
        <f t="shared" si="7"/>
        <v/>
      </c>
      <c r="E173" s="1" t="str">
        <f>IFERROR(__xludf.DUMMYFUNCTION("IFERROR(INDEX(UNIQUE(FILTER('Configuración'!$D$15:$D$134,'Configuración'!$B$15:$B$134=""Gastos"")),23),"""")"),"")</f>
        <v/>
      </c>
      <c r="F173" s="1" t="str">
        <f t="shared" si="8"/>
        <v/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ht="24.75" customHeight="1">
      <c r="A174" s="1"/>
      <c r="B174" s="1" t="str">
        <f>IFERROR(__xludf.DUMMYFUNCTION("IFERROR(INDEX(UNIQUE(FILTER('Configuración'!$D$15:$D$134,'Configuración'!$B$15:$B$134=""Gastos"")),24),"""")"),"")</f>
        <v/>
      </c>
      <c r="C174" s="1" t="str">
        <f>IF(B174="","",IF('Resumen financiero'!$Q$4="Todas",SUMIFS('Cálculos'!$L$9:$L$128,'Cálculos'!$F$9:$F$128,B174,'Cálculos'!$C$9:$C$128,"&gt;="&amp;$C$4,'Cálculos'!$C$9:$C$128,"&lt;"&amp;$D$4),SUMIFS('Cálculos'!$L$9:$L$128,'Cálculos'!$F$9:$F$128,B174,'Cálculos'!$C$9:$C$128,"&gt;="&amp;$C$4,'Cálculos'!$C$9:$C$128,"&lt;"&amp;$D$4,'Cálculos'!$N$9:$N$128,'Resumen financiero'!$Q$4)))</f>
        <v/>
      </c>
      <c r="D174" s="1" t="str">
        <f t="shared" si="7"/>
        <v/>
      </c>
      <c r="E174" s="1" t="str">
        <f>IFERROR(__xludf.DUMMYFUNCTION("IFERROR(INDEX(UNIQUE(FILTER('Configuración'!$D$15:$D$134,'Configuración'!$B$15:$B$134=""Gastos"")),24),"""")"),"")</f>
        <v/>
      </c>
      <c r="F174" s="1" t="str">
        <f t="shared" si="8"/>
        <v/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ht="24.75" customHeight="1">
      <c r="A175" s="1"/>
      <c r="B175" s="1" t="str">
        <f>IFERROR(__xludf.DUMMYFUNCTION("IFERROR(INDEX(UNIQUE(FILTER('Configuración'!$D$15:$D$134,'Configuración'!$B$15:$B$134=""Gastos"")),25),"""")"),"")</f>
        <v/>
      </c>
      <c r="C175" s="1" t="str">
        <f>IF(B175="","",IF('Resumen financiero'!$Q$4="Todas",SUMIFS('Cálculos'!$L$9:$L$128,'Cálculos'!$F$9:$F$128,B175,'Cálculos'!$C$9:$C$128,"&gt;="&amp;$C$4,'Cálculos'!$C$9:$C$128,"&lt;"&amp;$D$4),SUMIFS('Cálculos'!$L$9:$L$128,'Cálculos'!$F$9:$F$128,B175,'Cálculos'!$C$9:$C$128,"&gt;="&amp;$C$4,'Cálculos'!$C$9:$C$128,"&lt;"&amp;$D$4,'Cálculos'!$N$9:$N$128,'Resumen financiero'!$Q$4)))</f>
        <v/>
      </c>
      <c r="D175" s="1" t="str">
        <f t="shared" si="7"/>
        <v/>
      </c>
      <c r="E175" s="1" t="str">
        <f>IFERROR(__xludf.DUMMYFUNCTION("IFERROR(INDEX(UNIQUE(FILTER('Configuración'!$D$15:$D$134,'Configuración'!$B$15:$B$134=""Gastos"")),25),"""")"),"")</f>
        <v/>
      </c>
      <c r="F175" s="1" t="str">
        <f t="shared" si="8"/>
        <v/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ht="24.75" customHeight="1">
      <c r="A176" s="1"/>
      <c r="B176" s="1" t="str">
        <f>IFERROR(__xludf.DUMMYFUNCTION("IFERROR(INDEX(UNIQUE(FILTER('Configuración'!$D$15:$D$134,'Configuración'!$B$15:$B$134=""Gastos"")),26),"""")"),"")</f>
        <v/>
      </c>
      <c r="C176" s="1" t="str">
        <f>IF(B176="","",IF('Resumen financiero'!$Q$4="Todas",SUMIFS('Cálculos'!$L$9:$L$128,'Cálculos'!$F$9:$F$128,B176,'Cálculos'!$C$9:$C$128,"&gt;="&amp;$C$4,'Cálculos'!$C$9:$C$128,"&lt;"&amp;$D$4),SUMIFS('Cálculos'!$L$9:$L$128,'Cálculos'!$F$9:$F$128,B176,'Cálculos'!$C$9:$C$128,"&gt;="&amp;$C$4,'Cálculos'!$C$9:$C$128,"&lt;"&amp;$D$4,'Cálculos'!$N$9:$N$128,'Resumen financiero'!$Q$4)))</f>
        <v/>
      </c>
      <c r="D176" s="1" t="str">
        <f t="shared" si="7"/>
        <v/>
      </c>
      <c r="E176" s="1" t="str">
        <f>IFERROR(__xludf.DUMMYFUNCTION("IFERROR(INDEX(UNIQUE(FILTER('Configuración'!$D$15:$D$134,'Configuración'!$B$15:$B$134=""Gastos"")),26),"""")"),"")</f>
        <v/>
      </c>
      <c r="F176" s="1" t="str">
        <f t="shared" si="8"/>
        <v/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ht="24.75" customHeight="1">
      <c r="A177" s="1"/>
      <c r="B177" s="1" t="str">
        <f>IFERROR(__xludf.DUMMYFUNCTION("IFERROR(INDEX(UNIQUE(FILTER('Configuración'!$D$15:$D$134,'Configuración'!$B$15:$B$134=""Gastos"")),27),"""")"),"")</f>
        <v/>
      </c>
      <c r="C177" s="1" t="str">
        <f>IF(B177="","",IF('Resumen financiero'!$Q$4="Todas",SUMIFS('Cálculos'!$L$9:$L$128,'Cálculos'!$F$9:$F$128,B177,'Cálculos'!$C$9:$C$128,"&gt;="&amp;$C$4,'Cálculos'!$C$9:$C$128,"&lt;"&amp;$D$4),SUMIFS('Cálculos'!$L$9:$L$128,'Cálculos'!$F$9:$F$128,B177,'Cálculos'!$C$9:$C$128,"&gt;="&amp;$C$4,'Cálculos'!$C$9:$C$128,"&lt;"&amp;$D$4,'Cálculos'!$N$9:$N$128,'Resumen financiero'!$Q$4)))</f>
        <v/>
      </c>
      <c r="D177" s="1" t="str">
        <f t="shared" si="7"/>
        <v/>
      </c>
      <c r="E177" s="1" t="str">
        <f>IFERROR(__xludf.DUMMYFUNCTION("IFERROR(INDEX(UNIQUE(FILTER('Configuración'!$D$15:$D$134,'Configuración'!$B$15:$B$134=""Gastos"")),27),"""")"),"")</f>
        <v/>
      </c>
      <c r="F177" s="1" t="str">
        <f t="shared" si="8"/>
        <v/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ht="24.75" customHeight="1">
      <c r="A178" s="1"/>
      <c r="B178" s="1" t="str">
        <f>IFERROR(__xludf.DUMMYFUNCTION("IFERROR(INDEX(UNIQUE(FILTER('Configuración'!$D$15:$D$134,'Configuración'!$B$15:$B$134=""Gastos"")),28),"""")"),"")</f>
        <v/>
      </c>
      <c r="C178" s="1" t="str">
        <f>IF(B178="","",IF('Resumen financiero'!$Q$4="Todas",SUMIFS('Cálculos'!$L$9:$L$128,'Cálculos'!$F$9:$F$128,B178,'Cálculos'!$C$9:$C$128,"&gt;="&amp;$C$4,'Cálculos'!$C$9:$C$128,"&lt;"&amp;$D$4),SUMIFS('Cálculos'!$L$9:$L$128,'Cálculos'!$F$9:$F$128,B178,'Cálculos'!$C$9:$C$128,"&gt;="&amp;$C$4,'Cálculos'!$C$9:$C$128,"&lt;"&amp;$D$4,'Cálculos'!$N$9:$N$128,'Resumen financiero'!$Q$4)))</f>
        <v/>
      </c>
      <c r="D178" s="1" t="str">
        <f t="shared" si="7"/>
        <v/>
      </c>
      <c r="E178" s="1" t="str">
        <f>IFERROR(__xludf.DUMMYFUNCTION("IFERROR(INDEX(UNIQUE(FILTER('Configuración'!$D$15:$D$134,'Configuración'!$B$15:$B$134=""Gastos"")),28),"""")"),"")</f>
        <v/>
      </c>
      <c r="F178" s="1" t="str">
        <f t="shared" si="8"/>
        <v/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ht="24.75" customHeight="1">
      <c r="A179" s="1"/>
      <c r="B179" s="1" t="str">
        <f>IFERROR(__xludf.DUMMYFUNCTION("IFERROR(INDEX(UNIQUE(FILTER('Configuración'!$D$15:$D$134,'Configuración'!$B$15:$B$134=""Gastos"")),29),"""")"),"")</f>
        <v/>
      </c>
      <c r="C179" s="1" t="str">
        <f>IF(B179="","",IF('Resumen financiero'!$Q$4="Todas",SUMIFS('Cálculos'!$L$9:$L$128,'Cálculos'!$F$9:$F$128,B179,'Cálculos'!$C$9:$C$128,"&gt;="&amp;$C$4,'Cálculos'!$C$9:$C$128,"&lt;"&amp;$D$4),SUMIFS('Cálculos'!$L$9:$L$128,'Cálculos'!$F$9:$F$128,B179,'Cálculos'!$C$9:$C$128,"&gt;="&amp;$C$4,'Cálculos'!$C$9:$C$128,"&lt;"&amp;$D$4,'Cálculos'!$N$9:$N$128,'Resumen financiero'!$Q$4)))</f>
        <v/>
      </c>
      <c r="D179" s="1" t="str">
        <f t="shared" si="7"/>
        <v/>
      </c>
      <c r="E179" s="1" t="str">
        <f>IFERROR(__xludf.DUMMYFUNCTION("IFERROR(INDEX(UNIQUE(FILTER('Configuración'!$D$15:$D$134,'Configuración'!$B$15:$B$134=""Gastos"")),29),"""")"),"")</f>
        <v/>
      </c>
      <c r="F179" s="1" t="str">
        <f t="shared" si="8"/>
        <v/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ht="24.75" customHeight="1">
      <c r="A180" s="1"/>
      <c r="B180" s="1" t="str">
        <f>IFERROR(__xludf.DUMMYFUNCTION("IFERROR(INDEX(UNIQUE(FILTER('Configuración'!$D$15:$D$134,'Configuración'!$B$15:$B$134=""Gastos"")),30),"""")"),"")</f>
        <v/>
      </c>
      <c r="C180" s="1" t="str">
        <f>IF(B180="","",IF('Resumen financiero'!$Q$4="Todas",SUMIFS('Cálculos'!$L$9:$L$128,'Cálculos'!$F$9:$F$128,B180,'Cálculos'!$C$9:$C$128,"&gt;="&amp;$C$4,'Cálculos'!$C$9:$C$128,"&lt;"&amp;$D$4),SUMIFS('Cálculos'!$L$9:$L$128,'Cálculos'!$F$9:$F$128,B180,'Cálculos'!$C$9:$C$128,"&gt;="&amp;$C$4,'Cálculos'!$C$9:$C$128,"&lt;"&amp;$D$4,'Cálculos'!$N$9:$N$128,'Resumen financiero'!$Q$4)))</f>
        <v/>
      </c>
      <c r="D180" s="1" t="str">
        <f t="shared" si="7"/>
        <v/>
      </c>
      <c r="E180" s="1" t="str">
        <f>IFERROR(__xludf.DUMMYFUNCTION("IFERROR(INDEX(UNIQUE(FILTER('Configuración'!$D$15:$D$134,'Configuración'!$B$15:$B$134=""Gastos"")),30),"""")"),"")</f>
        <v/>
      </c>
      <c r="F180" s="1" t="str">
        <f t="shared" si="8"/>
        <v/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ht="24.75" customHeight="1">
      <c r="A181" s="1"/>
      <c r="B181" s="1" t="str">
        <f>IFERROR(__xludf.DUMMYFUNCTION("IFERROR(INDEX(UNIQUE(FILTER('Configuración'!$D$15:$D$134,'Configuración'!$B$15:$B$134=""Gastos"")),31),"""")"),"")</f>
        <v/>
      </c>
      <c r="C181" s="1" t="str">
        <f>IF(B181="","",IF('Resumen financiero'!$Q$4="Todas",SUMIFS('Cálculos'!$L$9:$L$128,'Cálculos'!$F$9:$F$128,B181,'Cálculos'!$C$9:$C$128,"&gt;="&amp;$C$4,'Cálculos'!$C$9:$C$128,"&lt;"&amp;$D$4),SUMIFS('Cálculos'!$L$9:$L$128,'Cálculos'!$F$9:$F$128,B181,'Cálculos'!$C$9:$C$128,"&gt;="&amp;$C$4,'Cálculos'!$C$9:$C$128,"&lt;"&amp;$D$4,'Cálculos'!$N$9:$N$128,'Resumen financiero'!$Q$4)))</f>
        <v/>
      </c>
      <c r="D181" s="1" t="str">
        <f t="shared" si="7"/>
        <v/>
      </c>
      <c r="E181" s="1" t="str">
        <f>IFERROR(__xludf.DUMMYFUNCTION("IFERROR(INDEX(UNIQUE(FILTER('Configuración'!$D$15:$D$134,'Configuración'!$B$15:$B$134=""Gastos"")),31),"""")"),"")</f>
        <v/>
      </c>
      <c r="F181" s="1" t="str">
        <f t="shared" si="8"/>
        <v/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ht="24.75" customHeight="1">
      <c r="A182" s="1"/>
      <c r="B182" s="1" t="str">
        <f>IFERROR(__xludf.DUMMYFUNCTION("IFERROR(INDEX(UNIQUE(FILTER('Configuración'!$D$15:$D$134,'Configuración'!$B$15:$B$134=""Gastos"")),32),"""")"),"")</f>
        <v/>
      </c>
      <c r="C182" s="1" t="str">
        <f>IF(B182="","",IF('Resumen financiero'!$Q$4="Todas",SUMIFS('Cálculos'!$L$9:$L$128,'Cálculos'!$F$9:$F$128,B182,'Cálculos'!$C$9:$C$128,"&gt;="&amp;$C$4,'Cálculos'!$C$9:$C$128,"&lt;"&amp;$D$4),SUMIFS('Cálculos'!$L$9:$L$128,'Cálculos'!$F$9:$F$128,B182,'Cálculos'!$C$9:$C$128,"&gt;="&amp;$C$4,'Cálculos'!$C$9:$C$128,"&lt;"&amp;$D$4,'Cálculos'!$N$9:$N$128,'Resumen financiero'!$Q$4)))</f>
        <v/>
      </c>
      <c r="D182" s="1" t="str">
        <f t="shared" si="7"/>
        <v/>
      </c>
      <c r="E182" s="1" t="str">
        <f>IFERROR(__xludf.DUMMYFUNCTION("IFERROR(INDEX(UNIQUE(FILTER('Configuración'!$D$15:$D$134,'Configuración'!$B$15:$B$134=""Gastos"")),32),"""")"),"")</f>
        <v/>
      </c>
      <c r="F182" s="1" t="str">
        <f t="shared" si="8"/>
        <v/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ht="24.75" customHeight="1">
      <c r="A183" s="1"/>
      <c r="B183" s="1" t="str">
        <f>IFERROR(__xludf.DUMMYFUNCTION("IFERROR(INDEX(UNIQUE(FILTER('Configuración'!$D$15:$D$134,'Configuración'!$B$15:$B$134=""Gastos"")),33),"""")"),"")</f>
        <v/>
      </c>
      <c r="C183" s="1" t="str">
        <f>IF(B183="","",IF('Resumen financiero'!$Q$4="Todas",SUMIFS('Cálculos'!$L$9:$L$128,'Cálculos'!$F$9:$F$128,B183,'Cálculos'!$C$9:$C$128,"&gt;="&amp;$C$4,'Cálculos'!$C$9:$C$128,"&lt;"&amp;$D$4),SUMIFS('Cálculos'!$L$9:$L$128,'Cálculos'!$F$9:$F$128,B183,'Cálculos'!$C$9:$C$128,"&gt;="&amp;$C$4,'Cálculos'!$C$9:$C$128,"&lt;"&amp;$D$4,'Cálculos'!$N$9:$N$128,'Resumen financiero'!$Q$4)))</f>
        <v/>
      </c>
      <c r="D183" s="1" t="str">
        <f t="shared" si="7"/>
        <v/>
      </c>
      <c r="E183" s="1" t="str">
        <f>IFERROR(__xludf.DUMMYFUNCTION("IFERROR(INDEX(UNIQUE(FILTER('Configuración'!$D$15:$D$134,'Configuración'!$B$15:$B$134=""Gastos"")),33),"""")"),"")</f>
        <v/>
      </c>
      <c r="F183" s="1" t="str">
        <f t="shared" si="8"/>
        <v/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ht="24.75" customHeight="1">
      <c r="A184" s="1"/>
      <c r="B184" s="1" t="str">
        <f>IFERROR(__xludf.DUMMYFUNCTION("IFERROR(INDEX(UNIQUE(FILTER('Configuración'!$D$15:$D$134,'Configuración'!$B$15:$B$134=""Gastos"")),34),"""")"),"")</f>
        <v/>
      </c>
      <c r="C184" s="1" t="str">
        <f>IF(B184="","",IF('Resumen financiero'!$Q$4="Todas",SUMIFS('Cálculos'!$L$9:$L$128,'Cálculos'!$F$9:$F$128,B184,'Cálculos'!$C$9:$C$128,"&gt;="&amp;$C$4,'Cálculos'!$C$9:$C$128,"&lt;"&amp;$D$4),SUMIFS('Cálculos'!$L$9:$L$128,'Cálculos'!$F$9:$F$128,B184,'Cálculos'!$C$9:$C$128,"&gt;="&amp;$C$4,'Cálculos'!$C$9:$C$128,"&lt;"&amp;$D$4,'Cálculos'!$N$9:$N$128,'Resumen financiero'!$Q$4)))</f>
        <v/>
      </c>
      <c r="D184" s="1" t="str">
        <f t="shared" si="7"/>
        <v/>
      </c>
      <c r="E184" s="1" t="str">
        <f>IFERROR(__xludf.DUMMYFUNCTION("IFERROR(INDEX(UNIQUE(FILTER('Configuración'!$D$15:$D$134,'Configuración'!$B$15:$B$134=""Gastos"")),34),"""")"),"")</f>
        <v/>
      </c>
      <c r="F184" s="1" t="str">
        <f t="shared" si="8"/>
        <v/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ht="24.75" customHeight="1">
      <c r="A185" s="1"/>
      <c r="B185" s="1" t="str">
        <f>IFERROR(__xludf.DUMMYFUNCTION("IFERROR(INDEX(UNIQUE(FILTER('Configuración'!$D$15:$D$134,'Configuración'!$B$15:$B$134=""Gastos"")),35),"""")"),"")</f>
        <v/>
      </c>
      <c r="C185" s="1" t="str">
        <f>IF(B185="","",IF('Resumen financiero'!$Q$4="Todas",SUMIFS('Cálculos'!$L$9:$L$128,'Cálculos'!$F$9:$F$128,B185,'Cálculos'!$C$9:$C$128,"&gt;="&amp;$C$4,'Cálculos'!$C$9:$C$128,"&lt;"&amp;$D$4),SUMIFS('Cálculos'!$L$9:$L$128,'Cálculos'!$F$9:$F$128,B185,'Cálculos'!$C$9:$C$128,"&gt;="&amp;$C$4,'Cálculos'!$C$9:$C$128,"&lt;"&amp;$D$4,'Cálculos'!$N$9:$N$128,'Resumen financiero'!$Q$4)))</f>
        <v/>
      </c>
      <c r="D185" s="1" t="str">
        <f t="shared" si="7"/>
        <v/>
      </c>
      <c r="E185" s="1" t="str">
        <f>IFERROR(__xludf.DUMMYFUNCTION("IFERROR(INDEX(UNIQUE(FILTER('Configuración'!$D$15:$D$134,'Configuración'!$B$15:$B$134=""Gastos"")),35),"""")"),"")</f>
        <v/>
      </c>
      <c r="F185" s="1" t="str">
        <f t="shared" si="8"/>
        <v/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ht="24.75" customHeight="1">
      <c r="A186" s="1"/>
      <c r="B186" s="1" t="str">
        <f>IFERROR(__xludf.DUMMYFUNCTION("IFERROR(INDEX(UNIQUE(FILTER('Configuración'!$D$15:$D$134,'Configuración'!$B$15:$B$134=""Gastos"")),36),"""")"),"")</f>
        <v/>
      </c>
      <c r="C186" s="1" t="str">
        <f>IF(B186="","",IF('Resumen financiero'!$Q$4="Todas",SUMIFS('Cálculos'!$L$9:$L$128,'Cálculos'!$F$9:$F$128,B186,'Cálculos'!$C$9:$C$128,"&gt;="&amp;$C$4,'Cálculos'!$C$9:$C$128,"&lt;"&amp;$D$4),SUMIFS('Cálculos'!$L$9:$L$128,'Cálculos'!$F$9:$F$128,B186,'Cálculos'!$C$9:$C$128,"&gt;="&amp;$C$4,'Cálculos'!$C$9:$C$128,"&lt;"&amp;$D$4,'Cálculos'!$N$9:$N$128,'Resumen financiero'!$Q$4)))</f>
        <v/>
      </c>
      <c r="D186" s="1" t="str">
        <f t="shared" si="7"/>
        <v/>
      </c>
      <c r="E186" s="1" t="str">
        <f>IFERROR(__xludf.DUMMYFUNCTION("IFERROR(INDEX(UNIQUE(FILTER('Configuración'!$D$15:$D$134,'Configuración'!$B$15:$B$134=""Gastos"")),36),"""")"),"")</f>
        <v/>
      </c>
      <c r="F186" s="1" t="str">
        <f t="shared" si="8"/>
        <v/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ht="24.75" customHeight="1">
      <c r="A187" s="1"/>
      <c r="B187" s="1" t="str">
        <f>IFERROR(__xludf.DUMMYFUNCTION("IFERROR(INDEX(UNIQUE(FILTER('Configuración'!$D$15:$D$134,'Configuración'!$B$15:$B$134=""Gastos"")),37),"""")"),"")</f>
        <v/>
      </c>
      <c r="C187" s="1" t="str">
        <f>IF(B187="","",IF('Resumen financiero'!$Q$4="Todas",SUMIFS('Cálculos'!$L$9:$L$128,'Cálculos'!$F$9:$F$128,B187,'Cálculos'!$C$9:$C$128,"&gt;="&amp;$C$4,'Cálculos'!$C$9:$C$128,"&lt;"&amp;$D$4),SUMIFS('Cálculos'!$L$9:$L$128,'Cálculos'!$F$9:$F$128,B187,'Cálculos'!$C$9:$C$128,"&gt;="&amp;$C$4,'Cálculos'!$C$9:$C$128,"&lt;"&amp;$D$4,'Cálculos'!$N$9:$N$128,'Resumen financiero'!$Q$4)))</f>
        <v/>
      </c>
      <c r="D187" s="1" t="str">
        <f t="shared" si="7"/>
        <v/>
      </c>
      <c r="E187" s="1" t="str">
        <f>IFERROR(__xludf.DUMMYFUNCTION("IFERROR(INDEX(UNIQUE(FILTER('Configuración'!$D$15:$D$134,'Configuración'!$B$15:$B$134=""Gastos"")),37),"""")"),"")</f>
        <v/>
      </c>
      <c r="F187" s="1" t="str">
        <f t="shared" si="8"/>
        <v/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ht="24.75" customHeight="1">
      <c r="A188" s="1"/>
      <c r="B188" s="1" t="str">
        <f>IFERROR(__xludf.DUMMYFUNCTION("IFERROR(INDEX(UNIQUE(FILTER('Configuración'!$D$15:$D$134,'Configuración'!$B$15:$B$134=""Gastos"")),38),"""")"),"")</f>
        <v/>
      </c>
      <c r="C188" s="1" t="str">
        <f>IF(B188="","",IF('Resumen financiero'!$Q$4="Todas",SUMIFS('Cálculos'!$L$9:$L$128,'Cálculos'!$F$9:$F$128,B188,'Cálculos'!$C$9:$C$128,"&gt;="&amp;$C$4,'Cálculos'!$C$9:$C$128,"&lt;"&amp;$D$4),SUMIFS('Cálculos'!$L$9:$L$128,'Cálculos'!$F$9:$F$128,B188,'Cálculos'!$C$9:$C$128,"&gt;="&amp;$C$4,'Cálculos'!$C$9:$C$128,"&lt;"&amp;$D$4,'Cálculos'!$N$9:$N$128,'Resumen financiero'!$Q$4)))</f>
        <v/>
      </c>
      <c r="D188" s="1" t="str">
        <f t="shared" si="7"/>
        <v/>
      </c>
      <c r="E188" s="1" t="str">
        <f>IFERROR(__xludf.DUMMYFUNCTION("IFERROR(INDEX(UNIQUE(FILTER('Configuración'!$D$15:$D$134,'Configuración'!$B$15:$B$134=""Gastos"")),38),"""")"),"")</f>
        <v/>
      </c>
      <c r="F188" s="1" t="str">
        <f t="shared" si="8"/>
        <v/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ht="24.75" customHeight="1">
      <c r="A189" s="1"/>
      <c r="B189" s="1" t="str">
        <f>IFERROR(__xludf.DUMMYFUNCTION("IFERROR(INDEX(UNIQUE(FILTER('Configuración'!$D$15:$D$134,'Configuración'!$B$15:$B$134=""Gastos"")),39),"""")"),"")</f>
        <v/>
      </c>
      <c r="C189" s="1" t="str">
        <f>IF(B189="","",IF('Resumen financiero'!$Q$4="Todas",SUMIFS('Cálculos'!$L$9:$L$128,'Cálculos'!$F$9:$F$128,B189,'Cálculos'!$C$9:$C$128,"&gt;="&amp;$C$4,'Cálculos'!$C$9:$C$128,"&lt;"&amp;$D$4),SUMIFS('Cálculos'!$L$9:$L$128,'Cálculos'!$F$9:$F$128,B189,'Cálculos'!$C$9:$C$128,"&gt;="&amp;$C$4,'Cálculos'!$C$9:$C$128,"&lt;"&amp;$D$4,'Cálculos'!$N$9:$N$128,'Resumen financiero'!$Q$4)))</f>
        <v/>
      </c>
      <c r="D189" s="1" t="str">
        <f t="shared" si="7"/>
        <v/>
      </c>
      <c r="E189" s="1" t="str">
        <f>IFERROR(__xludf.DUMMYFUNCTION("IFERROR(INDEX(UNIQUE(FILTER('Configuración'!$D$15:$D$134,'Configuración'!$B$15:$B$134=""Gastos"")),39),"""")"),"")</f>
        <v/>
      </c>
      <c r="F189" s="1" t="str">
        <f t="shared" si="8"/>
        <v/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ht="24.75" customHeight="1">
      <c r="A190" s="1"/>
      <c r="B190" s="1" t="str">
        <f>IFERROR(__xludf.DUMMYFUNCTION("IFERROR(INDEX(UNIQUE(FILTER('Configuración'!$D$15:$D$134,'Configuración'!$B$15:$B$134=""Gastos"")),40),"""")"),"")</f>
        <v/>
      </c>
      <c r="C190" s="1" t="str">
        <f>IF(B190="","",IF('Resumen financiero'!$Q$4="Todas",SUMIFS('Cálculos'!$L$9:$L$128,'Cálculos'!$F$9:$F$128,B190,'Cálculos'!$C$9:$C$128,"&gt;="&amp;$C$4,'Cálculos'!$C$9:$C$128,"&lt;"&amp;$D$4),SUMIFS('Cálculos'!$L$9:$L$128,'Cálculos'!$F$9:$F$128,B190,'Cálculos'!$C$9:$C$128,"&gt;="&amp;$C$4,'Cálculos'!$C$9:$C$128,"&lt;"&amp;$D$4,'Cálculos'!$N$9:$N$128,'Resumen financiero'!$Q$4)))</f>
        <v/>
      </c>
      <c r="D190" s="1" t="str">
        <f t="shared" si="7"/>
        <v/>
      </c>
      <c r="E190" s="1" t="str">
        <f>IFERROR(__xludf.DUMMYFUNCTION("IFERROR(INDEX(UNIQUE(FILTER('Configuración'!$D$15:$D$134,'Configuración'!$B$15:$B$134=""Gastos"")),40),"""")"),"")</f>
        <v/>
      </c>
      <c r="F190" s="1" t="str">
        <f t="shared" si="8"/>
        <v/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ht="24.75" customHeight="1">
      <c r="A191" s="1"/>
      <c r="B191" s="1" t="str">
        <f>IFERROR(__xludf.DUMMYFUNCTION("IFERROR(INDEX(UNIQUE(FILTER('Configuración'!$D$15:$D$134,'Configuración'!$B$15:$B$134=""Gastos"")),41),"""")"),"")</f>
        <v/>
      </c>
      <c r="C191" s="1" t="str">
        <f>IF(B191="","",IF('Resumen financiero'!$Q$4="Todas",SUMIFS('Cálculos'!$L$9:$L$128,'Cálculos'!$F$9:$F$128,B191,'Cálculos'!$C$9:$C$128,"&gt;="&amp;$C$4,'Cálculos'!$C$9:$C$128,"&lt;"&amp;$D$4),SUMIFS('Cálculos'!$L$9:$L$128,'Cálculos'!$F$9:$F$128,B191,'Cálculos'!$C$9:$C$128,"&gt;="&amp;$C$4,'Cálculos'!$C$9:$C$128,"&lt;"&amp;$D$4,'Cálculos'!$N$9:$N$128,'Resumen financiero'!$Q$4)))</f>
        <v/>
      </c>
      <c r="D191" s="1" t="str">
        <f t="shared" si="7"/>
        <v/>
      </c>
      <c r="E191" s="1" t="str">
        <f>IFERROR(__xludf.DUMMYFUNCTION("IFERROR(INDEX(UNIQUE(FILTER('Configuración'!$D$15:$D$134,'Configuración'!$B$15:$B$134=""Gastos"")),41),"""")"),"")</f>
        <v/>
      </c>
      <c r="F191" s="1" t="str">
        <f t="shared" si="8"/>
        <v/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ht="24.75" customHeight="1">
      <c r="A192" s="1"/>
      <c r="B192" s="1" t="str">
        <f>IFERROR(__xludf.DUMMYFUNCTION("IFERROR(INDEX(UNIQUE(FILTER('Configuración'!$D$15:$D$134,'Configuración'!$B$15:$B$134=""Gastos"")),42),"""")"),"")</f>
        <v/>
      </c>
      <c r="C192" s="1" t="str">
        <f>IF(B192="","",IF('Resumen financiero'!$Q$4="Todas",SUMIFS('Cálculos'!$L$9:$L$128,'Cálculos'!$F$9:$F$128,B192,'Cálculos'!$C$9:$C$128,"&gt;="&amp;$C$4,'Cálculos'!$C$9:$C$128,"&lt;"&amp;$D$4),SUMIFS('Cálculos'!$L$9:$L$128,'Cálculos'!$F$9:$F$128,B192,'Cálculos'!$C$9:$C$128,"&gt;="&amp;$C$4,'Cálculos'!$C$9:$C$128,"&lt;"&amp;$D$4,'Cálculos'!$N$9:$N$128,'Resumen financiero'!$Q$4)))</f>
        <v/>
      </c>
      <c r="D192" s="1" t="str">
        <f t="shared" si="7"/>
        <v/>
      </c>
      <c r="E192" s="1" t="str">
        <f>IFERROR(__xludf.DUMMYFUNCTION("IFERROR(INDEX(UNIQUE(FILTER('Configuración'!$D$15:$D$134,'Configuración'!$B$15:$B$134=""Gastos"")),42),"""")"),"")</f>
        <v/>
      </c>
      <c r="F192" s="1" t="str">
        <f t="shared" si="8"/>
        <v/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ht="24.75" customHeight="1">
      <c r="A193" s="1"/>
      <c r="B193" s="1" t="str">
        <f>IFERROR(__xludf.DUMMYFUNCTION("IFERROR(INDEX(UNIQUE(FILTER('Configuración'!$D$15:$D$134,'Configuración'!$B$15:$B$134=""Gastos"")),43),"""")"),"")</f>
        <v/>
      </c>
      <c r="C193" s="1" t="str">
        <f>IF(B193="","",IF('Resumen financiero'!$Q$4="Todas",SUMIFS('Cálculos'!$L$9:$L$128,'Cálculos'!$F$9:$F$128,B193,'Cálculos'!$C$9:$C$128,"&gt;="&amp;$C$4,'Cálculos'!$C$9:$C$128,"&lt;"&amp;$D$4),SUMIFS('Cálculos'!$L$9:$L$128,'Cálculos'!$F$9:$F$128,B193,'Cálculos'!$C$9:$C$128,"&gt;="&amp;$C$4,'Cálculos'!$C$9:$C$128,"&lt;"&amp;$D$4,'Cálculos'!$N$9:$N$128,'Resumen financiero'!$Q$4)))</f>
        <v/>
      </c>
      <c r="D193" s="1" t="str">
        <f t="shared" si="7"/>
        <v/>
      </c>
      <c r="E193" s="1" t="str">
        <f>IFERROR(__xludf.DUMMYFUNCTION("IFERROR(INDEX(UNIQUE(FILTER('Configuración'!$D$15:$D$134,'Configuración'!$B$15:$B$134=""Gastos"")),43),"""")"),"")</f>
        <v/>
      </c>
      <c r="F193" s="1" t="str">
        <f t="shared" si="8"/>
        <v/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ht="24.75" customHeight="1">
      <c r="A194" s="1"/>
      <c r="B194" s="1" t="str">
        <f>IFERROR(__xludf.DUMMYFUNCTION("IFERROR(INDEX(UNIQUE(FILTER('Configuración'!$D$15:$D$134,'Configuración'!$B$15:$B$134=""Gastos"")),44),"""")"),"")</f>
        <v/>
      </c>
      <c r="C194" s="1" t="str">
        <f>IF(B194="","",IF('Resumen financiero'!$Q$4="Todas",SUMIFS('Cálculos'!$L$9:$L$128,'Cálculos'!$F$9:$F$128,B194,'Cálculos'!$C$9:$C$128,"&gt;="&amp;$C$4,'Cálculos'!$C$9:$C$128,"&lt;"&amp;$D$4),SUMIFS('Cálculos'!$L$9:$L$128,'Cálculos'!$F$9:$F$128,B194,'Cálculos'!$C$9:$C$128,"&gt;="&amp;$C$4,'Cálculos'!$C$9:$C$128,"&lt;"&amp;$D$4,'Cálculos'!$N$9:$N$128,'Resumen financiero'!$Q$4)))</f>
        <v/>
      </c>
      <c r="D194" s="1" t="str">
        <f t="shared" si="7"/>
        <v/>
      </c>
      <c r="E194" s="1" t="str">
        <f>IFERROR(__xludf.DUMMYFUNCTION("IFERROR(INDEX(UNIQUE(FILTER('Configuración'!$D$15:$D$134,'Configuración'!$B$15:$B$134=""Gastos"")),44),"""")"),"")</f>
        <v/>
      </c>
      <c r="F194" s="1" t="str">
        <f t="shared" si="8"/>
        <v/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ht="24.75" customHeight="1">
      <c r="A195" s="1"/>
      <c r="B195" s="1" t="str">
        <f>IFERROR(__xludf.DUMMYFUNCTION("IFERROR(INDEX(UNIQUE(FILTER('Configuración'!$D$15:$D$134,'Configuración'!$B$15:$B$134=""Gastos"")),45),"""")"),"")</f>
        <v/>
      </c>
      <c r="C195" s="1" t="str">
        <f>IF(B195="","",IF('Resumen financiero'!$Q$4="Todas",SUMIFS('Cálculos'!$L$9:$L$128,'Cálculos'!$F$9:$F$128,B195,'Cálculos'!$C$9:$C$128,"&gt;="&amp;$C$4,'Cálculos'!$C$9:$C$128,"&lt;"&amp;$D$4),SUMIFS('Cálculos'!$L$9:$L$128,'Cálculos'!$F$9:$F$128,B195,'Cálculos'!$C$9:$C$128,"&gt;="&amp;$C$4,'Cálculos'!$C$9:$C$128,"&lt;"&amp;$D$4,'Cálculos'!$N$9:$N$128,'Resumen financiero'!$Q$4)))</f>
        <v/>
      </c>
      <c r="D195" s="1" t="str">
        <f t="shared" si="7"/>
        <v/>
      </c>
      <c r="E195" s="1" t="str">
        <f>IFERROR(__xludf.DUMMYFUNCTION("IFERROR(INDEX(UNIQUE(FILTER('Configuración'!$D$15:$D$134,'Configuración'!$B$15:$B$134=""Gastos"")),45),"""")"),"")</f>
        <v/>
      </c>
      <c r="F195" s="1" t="str">
        <f t="shared" si="8"/>
        <v/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ht="24.75" customHeight="1">
      <c r="A196" s="1"/>
      <c r="B196" s="1" t="str">
        <f>IFERROR(__xludf.DUMMYFUNCTION("IFERROR(INDEX(UNIQUE(FILTER('Configuración'!$D$15:$D$134,'Configuración'!$B$15:$B$134=""Gastos"")),46),"""")"),"")</f>
        <v/>
      </c>
      <c r="C196" s="1" t="str">
        <f>IF(B196="","",IF('Resumen financiero'!$Q$4="Todas",SUMIFS('Cálculos'!$L$9:$L$128,'Cálculos'!$F$9:$F$128,B196,'Cálculos'!$C$9:$C$128,"&gt;="&amp;$C$4,'Cálculos'!$C$9:$C$128,"&lt;"&amp;$D$4),SUMIFS('Cálculos'!$L$9:$L$128,'Cálculos'!$F$9:$F$128,B196,'Cálculos'!$C$9:$C$128,"&gt;="&amp;$C$4,'Cálculos'!$C$9:$C$128,"&lt;"&amp;$D$4,'Cálculos'!$N$9:$N$128,'Resumen financiero'!$Q$4)))</f>
        <v/>
      </c>
      <c r="D196" s="1" t="str">
        <f t="shared" si="7"/>
        <v/>
      </c>
      <c r="E196" s="1" t="str">
        <f>IFERROR(__xludf.DUMMYFUNCTION("IFERROR(INDEX(UNIQUE(FILTER('Configuración'!$D$15:$D$134,'Configuración'!$B$15:$B$134=""Gastos"")),46),"""")"),"")</f>
        <v/>
      </c>
      <c r="F196" s="1" t="str">
        <f t="shared" si="8"/>
        <v/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ht="24.75" customHeight="1">
      <c r="A197" s="1"/>
      <c r="B197" s="1" t="str">
        <f>IFERROR(__xludf.DUMMYFUNCTION("IFERROR(INDEX(UNIQUE(FILTER('Configuración'!$D$15:$D$134,'Configuración'!$B$15:$B$134=""Gastos"")),47),"""")"),"")</f>
        <v/>
      </c>
      <c r="C197" s="1" t="str">
        <f>IF(B197="","",IF('Resumen financiero'!$Q$4="Todas",SUMIFS('Cálculos'!$L$9:$L$128,'Cálculos'!$F$9:$F$128,B197,'Cálculos'!$C$9:$C$128,"&gt;="&amp;$C$4,'Cálculos'!$C$9:$C$128,"&lt;"&amp;$D$4),SUMIFS('Cálculos'!$L$9:$L$128,'Cálculos'!$F$9:$F$128,B197,'Cálculos'!$C$9:$C$128,"&gt;="&amp;$C$4,'Cálculos'!$C$9:$C$128,"&lt;"&amp;$D$4,'Cálculos'!$N$9:$N$128,'Resumen financiero'!$Q$4)))</f>
        <v/>
      </c>
      <c r="D197" s="1" t="str">
        <f t="shared" si="7"/>
        <v/>
      </c>
      <c r="E197" s="1" t="str">
        <f>IFERROR(__xludf.DUMMYFUNCTION("IFERROR(INDEX(UNIQUE(FILTER('Configuración'!$D$15:$D$134,'Configuración'!$B$15:$B$134=""Gastos"")),47),"""")"),"")</f>
        <v/>
      </c>
      <c r="F197" s="1" t="str">
        <f t="shared" si="8"/>
        <v/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ht="24.75" customHeight="1">
      <c r="A198" s="1"/>
      <c r="B198" s="1" t="str">
        <f>IFERROR(__xludf.DUMMYFUNCTION("IFERROR(INDEX(UNIQUE(FILTER('Configuración'!$D$15:$D$134,'Configuración'!$B$15:$B$134=""Gastos"")),48),"""")"),"")</f>
        <v/>
      </c>
      <c r="C198" s="1" t="str">
        <f>IF(B198="","",IF('Resumen financiero'!$Q$4="Todas",SUMIFS('Cálculos'!$L$9:$L$128,'Cálculos'!$F$9:$F$128,B198,'Cálculos'!$C$9:$C$128,"&gt;="&amp;$C$4,'Cálculos'!$C$9:$C$128,"&lt;"&amp;$D$4),SUMIFS('Cálculos'!$L$9:$L$128,'Cálculos'!$F$9:$F$128,B198,'Cálculos'!$C$9:$C$128,"&gt;="&amp;$C$4,'Cálculos'!$C$9:$C$128,"&lt;"&amp;$D$4,'Cálculos'!$N$9:$N$128,'Resumen financiero'!$Q$4)))</f>
        <v/>
      </c>
      <c r="D198" s="1" t="str">
        <f t="shared" si="7"/>
        <v/>
      </c>
      <c r="E198" s="1" t="str">
        <f>IFERROR(__xludf.DUMMYFUNCTION("IFERROR(INDEX(UNIQUE(FILTER('Configuración'!$D$15:$D$134,'Configuración'!$B$15:$B$134=""Gastos"")),48),"""")"),"")</f>
        <v/>
      </c>
      <c r="F198" s="1" t="str">
        <f t="shared" si="8"/>
        <v/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ht="24.75" customHeight="1">
      <c r="A199" s="1"/>
      <c r="B199" s="1" t="str">
        <f>IFERROR(__xludf.DUMMYFUNCTION("IFERROR(INDEX(UNIQUE(FILTER('Configuración'!$D$15:$D$134,'Configuración'!$B$15:$B$134=""Gastos"")),49),"""")"),"")</f>
        <v/>
      </c>
      <c r="C199" s="1" t="str">
        <f>IF(B199="","",IF('Resumen financiero'!$Q$4="Todas",SUMIFS('Cálculos'!$L$9:$L$128,'Cálculos'!$F$9:$F$128,B199,'Cálculos'!$C$9:$C$128,"&gt;="&amp;$C$4,'Cálculos'!$C$9:$C$128,"&lt;"&amp;$D$4),SUMIFS('Cálculos'!$L$9:$L$128,'Cálculos'!$F$9:$F$128,B199,'Cálculos'!$C$9:$C$128,"&gt;="&amp;$C$4,'Cálculos'!$C$9:$C$128,"&lt;"&amp;$D$4,'Cálculos'!$N$9:$N$128,'Resumen financiero'!$Q$4)))</f>
        <v/>
      </c>
      <c r="D199" s="1" t="str">
        <f t="shared" si="7"/>
        <v/>
      </c>
      <c r="E199" s="1" t="str">
        <f>IFERROR(__xludf.DUMMYFUNCTION("IFERROR(INDEX(UNIQUE(FILTER('Configuración'!$D$15:$D$134,'Configuración'!$B$15:$B$134=""Gastos"")),49),"""")"),"")</f>
        <v/>
      </c>
      <c r="F199" s="1" t="str">
        <f t="shared" si="8"/>
        <v/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ht="24.75" customHeight="1">
      <c r="A200" s="1"/>
      <c r="B200" s="1" t="str">
        <f>IFERROR(__xludf.DUMMYFUNCTION("IFERROR(INDEX(UNIQUE(FILTER('Configuración'!$D$15:$D$134,'Configuración'!$B$15:$B$134=""Gastos"")),50),"""")"),"")</f>
        <v/>
      </c>
      <c r="C200" s="1" t="str">
        <f>IF(B200="","",IF('Resumen financiero'!$Q$4="Todas",SUMIFS('Cálculos'!$L$9:$L$128,'Cálculos'!$F$9:$F$128,B200,'Cálculos'!$C$9:$C$128,"&gt;="&amp;$C$4,'Cálculos'!$C$9:$C$128,"&lt;"&amp;$D$4),SUMIFS('Cálculos'!$L$9:$L$128,'Cálculos'!$F$9:$F$128,B200,'Cálculos'!$C$9:$C$128,"&gt;="&amp;$C$4,'Cálculos'!$C$9:$C$128,"&lt;"&amp;$D$4,'Cálculos'!$N$9:$N$128,'Resumen financiero'!$Q$4)))</f>
        <v/>
      </c>
      <c r="D200" s="1" t="str">
        <f t="shared" si="7"/>
        <v/>
      </c>
      <c r="E200" s="1" t="str">
        <f>IFERROR(__xludf.DUMMYFUNCTION("IFERROR(INDEX(UNIQUE(FILTER('Configuración'!$D$15:$D$134,'Configuración'!$B$15:$B$134=""Gastos"")),50),"""")"),"")</f>
        <v/>
      </c>
      <c r="F200" s="1" t="str">
        <f t="shared" si="8"/>
        <v/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ht="24.75" customHeight="1">
      <c r="A201" s="1"/>
      <c r="B201" s="1" t="str">
        <f>IFERROR(__xludf.DUMMYFUNCTION("IFERROR(INDEX(UNIQUE(FILTER('Configuración'!$D$15:$D$134,'Configuración'!$B$15:$B$134=""Gastos"")),51),"""")"),"")</f>
        <v/>
      </c>
      <c r="C201" s="1" t="str">
        <f>IF(B201="","",IF('Resumen financiero'!$Q$4="Todas",SUMIFS('Cálculos'!$L$9:$L$128,'Cálculos'!$F$9:$F$128,B201,'Cálculos'!$C$9:$C$128,"&gt;="&amp;$C$4,'Cálculos'!$C$9:$C$128,"&lt;"&amp;$D$4),SUMIFS('Cálculos'!$L$9:$L$128,'Cálculos'!$F$9:$F$128,B201,'Cálculos'!$C$9:$C$128,"&gt;="&amp;$C$4,'Cálculos'!$C$9:$C$128,"&lt;"&amp;$D$4,'Cálculos'!$N$9:$N$128,'Resumen financiero'!$Q$4)))</f>
        <v/>
      </c>
      <c r="D201" s="1" t="str">
        <f t="shared" si="7"/>
        <v/>
      </c>
      <c r="E201" s="1" t="str">
        <f>IFERROR(__xludf.DUMMYFUNCTION("IFERROR(INDEX(UNIQUE(FILTER('Configuración'!$D$15:$D$134,'Configuración'!$B$15:$B$134=""Gastos"")),51),"""")"),"")</f>
        <v/>
      </c>
      <c r="F201" s="1" t="str">
        <f t="shared" si="8"/>
        <v/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ht="24.75" customHeight="1">
      <c r="A202" s="1"/>
      <c r="B202" s="1" t="str">
        <f>IFERROR(__xludf.DUMMYFUNCTION("IFERROR(INDEX(UNIQUE(FILTER('Configuración'!$D$15:$D$134,'Configuración'!$B$15:$B$134=""Gastos"")),52),"""")"),"")</f>
        <v/>
      </c>
      <c r="C202" s="1" t="str">
        <f>IF(B202="","",IF('Resumen financiero'!$Q$4="Todas",SUMIFS('Cálculos'!$L$9:$L$128,'Cálculos'!$F$9:$F$128,B202,'Cálculos'!$C$9:$C$128,"&gt;="&amp;$C$4,'Cálculos'!$C$9:$C$128,"&lt;"&amp;$D$4),SUMIFS('Cálculos'!$L$9:$L$128,'Cálculos'!$F$9:$F$128,B202,'Cálculos'!$C$9:$C$128,"&gt;="&amp;$C$4,'Cálculos'!$C$9:$C$128,"&lt;"&amp;$D$4,'Cálculos'!$N$9:$N$128,'Resumen financiero'!$Q$4)))</f>
        <v/>
      </c>
      <c r="D202" s="1" t="str">
        <f t="shared" si="7"/>
        <v/>
      </c>
      <c r="E202" s="1" t="str">
        <f>IFERROR(__xludf.DUMMYFUNCTION("IFERROR(INDEX(UNIQUE(FILTER('Configuración'!$D$15:$D$134,'Configuración'!$B$15:$B$134=""Gastos"")),52),"""")"),"")</f>
        <v/>
      </c>
      <c r="F202" s="1" t="str">
        <f t="shared" si="8"/>
        <v/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ht="24.75" customHeight="1">
      <c r="A203" s="1"/>
      <c r="B203" s="1" t="str">
        <f>IFERROR(__xludf.DUMMYFUNCTION("IFERROR(INDEX(UNIQUE(FILTER('Configuración'!$D$15:$D$134,'Configuración'!$B$15:$B$134=""Gastos"")),53),"""")"),"")</f>
        <v/>
      </c>
      <c r="C203" s="1" t="str">
        <f>IF(B203="","",IF('Resumen financiero'!$Q$4="Todas",SUMIFS('Cálculos'!$L$9:$L$128,'Cálculos'!$F$9:$F$128,B203,'Cálculos'!$C$9:$C$128,"&gt;="&amp;$C$4,'Cálculos'!$C$9:$C$128,"&lt;"&amp;$D$4),SUMIFS('Cálculos'!$L$9:$L$128,'Cálculos'!$F$9:$F$128,B203,'Cálculos'!$C$9:$C$128,"&gt;="&amp;$C$4,'Cálculos'!$C$9:$C$128,"&lt;"&amp;$D$4,'Cálculos'!$N$9:$N$128,'Resumen financiero'!$Q$4)))</f>
        <v/>
      </c>
      <c r="D203" s="1" t="str">
        <f t="shared" si="7"/>
        <v/>
      </c>
      <c r="E203" s="1" t="str">
        <f>IFERROR(__xludf.DUMMYFUNCTION("IFERROR(INDEX(UNIQUE(FILTER('Configuración'!$D$15:$D$134,'Configuración'!$B$15:$B$134=""Gastos"")),53),"""")"),"")</f>
        <v/>
      </c>
      <c r="F203" s="1" t="str">
        <f t="shared" si="8"/>
        <v/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ht="24.75" customHeight="1">
      <c r="A204" s="1"/>
      <c r="B204" s="1" t="str">
        <f>IFERROR(__xludf.DUMMYFUNCTION("IFERROR(INDEX(UNIQUE(FILTER('Configuración'!$D$15:$D$134,'Configuración'!$B$15:$B$134=""Gastos"")),54),"""")"),"")</f>
        <v/>
      </c>
      <c r="C204" s="1" t="str">
        <f>IF(B204="","",IF('Resumen financiero'!$Q$4="Todas",SUMIFS('Cálculos'!$L$9:$L$128,'Cálculos'!$F$9:$F$128,B204,'Cálculos'!$C$9:$C$128,"&gt;="&amp;$C$4,'Cálculos'!$C$9:$C$128,"&lt;"&amp;$D$4),SUMIFS('Cálculos'!$L$9:$L$128,'Cálculos'!$F$9:$F$128,B204,'Cálculos'!$C$9:$C$128,"&gt;="&amp;$C$4,'Cálculos'!$C$9:$C$128,"&lt;"&amp;$D$4,'Cálculos'!$N$9:$N$128,'Resumen financiero'!$Q$4)))</f>
        <v/>
      </c>
      <c r="D204" s="1" t="str">
        <f t="shared" si="7"/>
        <v/>
      </c>
      <c r="E204" s="1" t="str">
        <f>IFERROR(__xludf.DUMMYFUNCTION("IFERROR(INDEX(UNIQUE(FILTER('Configuración'!$D$15:$D$134,'Configuración'!$B$15:$B$134=""Gastos"")),54),"""")"),"")</f>
        <v/>
      </c>
      <c r="F204" s="1" t="str">
        <f t="shared" si="8"/>
        <v/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ht="24.75" customHeight="1">
      <c r="A205" s="1"/>
      <c r="B205" s="1" t="str">
        <f>IFERROR(__xludf.DUMMYFUNCTION("IFERROR(INDEX(UNIQUE(FILTER('Configuración'!$D$15:$D$134,'Configuración'!$B$15:$B$134=""Gastos"")),55),"""")"),"")</f>
        <v/>
      </c>
      <c r="C205" s="1" t="str">
        <f>IF(B205="","",IF('Resumen financiero'!$Q$4="Todas",SUMIFS('Cálculos'!$L$9:$L$128,'Cálculos'!$F$9:$F$128,B205,'Cálculos'!$C$9:$C$128,"&gt;="&amp;$C$4,'Cálculos'!$C$9:$C$128,"&lt;"&amp;$D$4),SUMIFS('Cálculos'!$L$9:$L$128,'Cálculos'!$F$9:$F$128,B205,'Cálculos'!$C$9:$C$128,"&gt;="&amp;$C$4,'Cálculos'!$C$9:$C$128,"&lt;"&amp;$D$4,'Cálculos'!$N$9:$N$128,'Resumen financiero'!$Q$4)))</f>
        <v/>
      </c>
      <c r="D205" s="1" t="str">
        <f t="shared" si="7"/>
        <v/>
      </c>
      <c r="E205" s="1" t="str">
        <f>IFERROR(__xludf.DUMMYFUNCTION("IFERROR(INDEX(UNIQUE(FILTER('Configuración'!$D$15:$D$134,'Configuración'!$B$15:$B$134=""Gastos"")),55),"""")"),"")</f>
        <v/>
      </c>
      <c r="F205" s="1" t="str">
        <f t="shared" si="8"/>
        <v/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ht="24.75" customHeight="1">
      <c r="A206" s="1"/>
      <c r="B206" s="1" t="str">
        <f>IFERROR(__xludf.DUMMYFUNCTION("IFERROR(INDEX(UNIQUE(FILTER('Configuración'!$D$15:$D$134,'Configuración'!$B$15:$B$134=""Gastos"")),56),"""")"),"")</f>
        <v/>
      </c>
      <c r="C206" s="1" t="str">
        <f>IF(B206="","",IF('Resumen financiero'!$Q$4="Todas",SUMIFS('Cálculos'!$L$9:$L$128,'Cálculos'!$F$9:$F$128,B206,'Cálculos'!$C$9:$C$128,"&gt;="&amp;$C$4,'Cálculos'!$C$9:$C$128,"&lt;"&amp;$D$4),SUMIFS('Cálculos'!$L$9:$L$128,'Cálculos'!$F$9:$F$128,B206,'Cálculos'!$C$9:$C$128,"&gt;="&amp;$C$4,'Cálculos'!$C$9:$C$128,"&lt;"&amp;$D$4,'Cálculos'!$N$9:$N$128,'Resumen financiero'!$Q$4)))</f>
        <v/>
      </c>
      <c r="D206" s="1" t="str">
        <f t="shared" si="7"/>
        <v/>
      </c>
      <c r="E206" s="1" t="str">
        <f>IFERROR(__xludf.DUMMYFUNCTION("IFERROR(INDEX(UNIQUE(FILTER('Configuración'!$D$15:$D$134,'Configuración'!$B$15:$B$134=""Gastos"")),56),"""")"),"")</f>
        <v/>
      </c>
      <c r="F206" s="1" t="str">
        <f t="shared" si="8"/>
        <v/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ht="24.75" customHeight="1">
      <c r="A207" s="1"/>
      <c r="B207" s="1" t="str">
        <f>IFERROR(__xludf.DUMMYFUNCTION("IFERROR(INDEX(UNIQUE(FILTER('Configuración'!$D$15:$D$134,'Configuración'!$B$15:$B$134=""Gastos"")),57),"""")"),"")</f>
        <v/>
      </c>
      <c r="C207" s="1" t="str">
        <f>IF(B207="","",IF('Resumen financiero'!$Q$4="Todas",SUMIFS('Cálculos'!$L$9:$L$128,'Cálculos'!$F$9:$F$128,B207,'Cálculos'!$C$9:$C$128,"&gt;="&amp;$C$4,'Cálculos'!$C$9:$C$128,"&lt;"&amp;$D$4),SUMIFS('Cálculos'!$L$9:$L$128,'Cálculos'!$F$9:$F$128,B207,'Cálculos'!$C$9:$C$128,"&gt;="&amp;$C$4,'Cálculos'!$C$9:$C$128,"&lt;"&amp;$D$4,'Cálculos'!$N$9:$N$128,'Resumen financiero'!$Q$4)))</f>
        <v/>
      </c>
      <c r="D207" s="1" t="str">
        <f t="shared" si="7"/>
        <v/>
      </c>
      <c r="E207" s="1" t="str">
        <f>IFERROR(__xludf.DUMMYFUNCTION("IFERROR(INDEX(UNIQUE(FILTER('Configuración'!$D$15:$D$134,'Configuración'!$B$15:$B$134=""Gastos"")),57),"""")"),"")</f>
        <v/>
      </c>
      <c r="F207" s="1" t="str">
        <f t="shared" si="8"/>
        <v/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ht="24.75" customHeight="1">
      <c r="A208" s="1"/>
      <c r="B208" s="1" t="str">
        <f>IFERROR(__xludf.DUMMYFUNCTION("IFERROR(INDEX(UNIQUE(FILTER('Configuración'!$D$15:$D$134,'Configuración'!$B$15:$B$134=""Gastos"")),58),"""")"),"")</f>
        <v/>
      </c>
      <c r="C208" s="1" t="str">
        <f>IF(B208="","",IF('Resumen financiero'!$Q$4="Todas",SUMIFS('Cálculos'!$L$9:$L$128,'Cálculos'!$F$9:$F$128,B208,'Cálculos'!$C$9:$C$128,"&gt;="&amp;$C$4,'Cálculos'!$C$9:$C$128,"&lt;"&amp;$D$4),SUMIFS('Cálculos'!$L$9:$L$128,'Cálculos'!$F$9:$F$128,B208,'Cálculos'!$C$9:$C$128,"&gt;="&amp;$C$4,'Cálculos'!$C$9:$C$128,"&lt;"&amp;$D$4,'Cálculos'!$N$9:$N$128,'Resumen financiero'!$Q$4)))</f>
        <v/>
      </c>
      <c r="D208" s="1" t="str">
        <f t="shared" si="7"/>
        <v/>
      </c>
      <c r="E208" s="1" t="str">
        <f>IFERROR(__xludf.DUMMYFUNCTION("IFERROR(INDEX(UNIQUE(FILTER('Configuración'!$D$15:$D$134,'Configuración'!$B$15:$B$134=""Gastos"")),58),"""")"),"")</f>
        <v/>
      </c>
      <c r="F208" s="1" t="str">
        <f t="shared" si="8"/>
        <v/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ht="24.75" customHeight="1">
      <c r="A209" s="1"/>
      <c r="B209" s="1" t="str">
        <f>IFERROR(__xludf.DUMMYFUNCTION("IFERROR(INDEX(UNIQUE(FILTER('Configuración'!$D$15:$D$134,'Configuración'!$B$15:$B$134=""Gastos"")),59),"""")"),"")</f>
        <v/>
      </c>
      <c r="C209" s="1" t="str">
        <f>IF(B209="","",IF('Resumen financiero'!$Q$4="Todas",SUMIFS('Cálculos'!$L$9:$L$128,'Cálculos'!$F$9:$F$128,B209,'Cálculos'!$C$9:$C$128,"&gt;="&amp;$C$4,'Cálculos'!$C$9:$C$128,"&lt;"&amp;$D$4),SUMIFS('Cálculos'!$L$9:$L$128,'Cálculos'!$F$9:$F$128,B209,'Cálculos'!$C$9:$C$128,"&gt;="&amp;$C$4,'Cálculos'!$C$9:$C$128,"&lt;"&amp;$D$4,'Cálculos'!$N$9:$N$128,'Resumen financiero'!$Q$4)))</f>
        <v/>
      </c>
      <c r="D209" s="1" t="str">
        <f t="shared" si="7"/>
        <v/>
      </c>
      <c r="E209" s="1" t="str">
        <f>IFERROR(__xludf.DUMMYFUNCTION("IFERROR(INDEX(UNIQUE(FILTER('Configuración'!$D$15:$D$134,'Configuración'!$B$15:$B$134=""Gastos"")),59),"""")"),"")</f>
        <v/>
      </c>
      <c r="F209" s="1" t="str">
        <f t="shared" si="8"/>
        <v/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ht="24.75" customHeight="1">
      <c r="A210" s="1"/>
      <c r="B210" s="1" t="str">
        <f>IFERROR(__xludf.DUMMYFUNCTION("IFERROR(INDEX(UNIQUE(FILTER('Configuración'!$D$15:$D$134,'Configuración'!$B$15:$B$134=""Gastos"")),60),"""")"),"")</f>
        <v/>
      </c>
      <c r="C210" s="1" t="str">
        <f>IF(B210="","",IF('Resumen financiero'!$Q$4="Todas",SUMIFS('Cálculos'!$L$9:$L$128,'Cálculos'!$F$9:$F$128,B210,'Cálculos'!$C$9:$C$128,"&gt;="&amp;$C$4,'Cálculos'!$C$9:$C$128,"&lt;"&amp;$D$4),SUMIFS('Cálculos'!$L$9:$L$128,'Cálculos'!$F$9:$F$128,B210,'Cálculos'!$C$9:$C$128,"&gt;="&amp;$C$4,'Cálculos'!$C$9:$C$128,"&lt;"&amp;$D$4,'Cálculos'!$N$9:$N$128,'Resumen financiero'!$Q$4)))</f>
        <v/>
      </c>
      <c r="D210" s="1" t="str">
        <f t="shared" si="7"/>
        <v/>
      </c>
      <c r="E210" s="1" t="str">
        <f>IFERROR(__xludf.DUMMYFUNCTION("IFERROR(INDEX(UNIQUE(FILTER('Configuración'!$D$15:$D$134,'Configuración'!$B$15:$B$134=""Gastos"")),60),"""")"),"")</f>
        <v/>
      </c>
      <c r="F210" s="1" t="str">
        <f t="shared" si="8"/>
        <v/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ht="24.75" customHeight="1">
      <c r="A211" s="1"/>
      <c r="B211" s="1" t="str">
        <f>IFERROR(__xludf.DUMMYFUNCTION("IFERROR(INDEX(UNIQUE(FILTER('Configuración'!$D$15:$D$134,'Configuración'!$B$15:$B$134=""Gastos"")),61),"""")"),"")</f>
        <v/>
      </c>
      <c r="C211" s="1" t="str">
        <f>IF(B211="","",IF('Resumen financiero'!$Q$4="Todas",SUMIFS('Cálculos'!$L$9:$L$128,'Cálculos'!$F$9:$F$128,B211,'Cálculos'!$C$9:$C$128,"&gt;="&amp;$C$4,'Cálculos'!$C$9:$C$128,"&lt;"&amp;$D$4),SUMIFS('Cálculos'!$L$9:$L$128,'Cálculos'!$F$9:$F$128,B211,'Cálculos'!$C$9:$C$128,"&gt;="&amp;$C$4,'Cálculos'!$C$9:$C$128,"&lt;"&amp;$D$4,'Cálculos'!$N$9:$N$128,'Resumen financiero'!$Q$4)))</f>
        <v/>
      </c>
      <c r="D211" s="1" t="str">
        <f t="shared" si="7"/>
        <v/>
      </c>
      <c r="E211" s="1" t="str">
        <f>IFERROR(__xludf.DUMMYFUNCTION("IFERROR(INDEX(UNIQUE(FILTER('Configuración'!$D$15:$D$134,'Configuración'!$B$15:$B$134=""Gastos"")),61),"""")"),"")</f>
        <v/>
      </c>
      <c r="F211" s="1" t="str">
        <f t="shared" si="8"/>
        <v/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ht="24.75" customHeight="1">
      <c r="A212" s="1"/>
      <c r="B212" s="1" t="str">
        <f>IFERROR(__xludf.DUMMYFUNCTION("IFERROR(INDEX(UNIQUE(FILTER('Configuración'!$D$15:$D$134,'Configuración'!$B$15:$B$134=""Gastos"")),62),"""")"),"")</f>
        <v/>
      </c>
      <c r="C212" s="1" t="str">
        <f>IF(B212="","",IF('Resumen financiero'!$Q$4="Todas",SUMIFS('Cálculos'!$L$9:$L$128,'Cálculos'!$F$9:$F$128,B212,'Cálculos'!$C$9:$C$128,"&gt;="&amp;$C$4,'Cálculos'!$C$9:$C$128,"&lt;"&amp;$D$4),SUMIFS('Cálculos'!$L$9:$L$128,'Cálculos'!$F$9:$F$128,B212,'Cálculos'!$C$9:$C$128,"&gt;="&amp;$C$4,'Cálculos'!$C$9:$C$128,"&lt;"&amp;$D$4,'Cálculos'!$N$9:$N$128,'Resumen financiero'!$Q$4)))</f>
        <v/>
      </c>
      <c r="D212" s="1" t="str">
        <f t="shared" si="7"/>
        <v/>
      </c>
      <c r="E212" s="1" t="str">
        <f>IFERROR(__xludf.DUMMYFUNCTION("IFERROR(INDEX(UNIQUE(FILTER('Configuración'!$D$15:$D$134,'Configuración'!$B$15:$B$134=""Gastos"")),62),"""")"),"")</f>
        <v/>
      </c>
      <c r="F212" s="1" t="str">
        <f t="shared" si="8"/>
        <v/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ht="24.75" customHeight="1">
      <c r="A213" s="1"/>
      <c r="B213" s="1" t="str">
        <f>IFERROR(__xludf.DUMMYFUNCTION("IFERROR(INDEX(UNIQUE(FILTER('Configuración'!$D$15:$D$134,'Configuración'!$B$15:$B$134=""Gastos"")),63),"""")"),"")</f>
        <v/>
      </c>
      <c r="C213" s="1" t="str">
        <f>IF(B213="","",IF('Resumen financiero'!$Q$4="Todas",SUMIFS('Cálculos'!$L$9:$L$128,'Cálculos'!$F$9:$F$128,B213,'Cálculos'!$C$9:$C$128,"&gt;="&amp;$C$4,'Cálculos'!$C$9:$C$128,"&lt;"&amp;$D$4),SUMIFS('Cálculos'!$L$9:$L$128,'Cálculos'!$F$9:$F$128,B213,'Cálculos'!$C$9:$C$128,"&gt;="&amp;$C$4,'Cálculos'!$C$9:$C$128,"&lt;"&amp;$D$4,'Cálculos'!$N$9:$N$128,'Resumen financiero'!$Q$4)))</f>
        <v/>
      </c>
      <c r="D213" s="1" t="str">
        <f t="shared" si="7"/>
        <v/>
      </c>
      <c r="E213" s="1" t="str">
        <f>IFERROR(__xludf.DUMMYFUNCTION("IFERROR(INDEX(UNIQUE(FILTER('Configuración'!$D$15:$D$134,'Configuración'!$B$15:$B$134=""Gastos"")),63),"""")"),"")</f>
        <v/>
      </c>
      <c r="F213" s="1" t="str">
        <f t="shared" si="8"/>
        <v/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ht="24.75" customHeight="1">
      <c r="A214" s="1"/>
      <c r="B214" s="1" t="str">
        <f>IFERROR(__xludf.DUMMYFUNCTION("IFERROR(INDEX(UNIQUE(FILTER('Configuración'!$D$15:$D$134,'Configuración'!$B$15:$B$134=""Gastos"")),64),"""")"),"")</f>
        <v/>
      </c>
      <c r="C214" s="1" t="str">
        <f>IF(B214="","",IF('Resumen financiero'!$Q$4="Todas",SUMIFS('Cálculos'!$L$9:$L$128,'Cálculos'!$F$9:$F$128,B214,'Cálculos'!$C$9:$C$128,"&gt;="&amp;$C$4,'Cálculos'!$C$9:$C$128,"&lt;"&amp;$D$4),SUMIFS('Cálculos'!$L$9:$L$128,'Cálculos'!$F$9:$F$128,B214,'Cálculos'!$C$9:$C$128,"&gt;="&amp;$C$4,'Cálculos'!$C$9:$C$128,"&lt;"&amp;$D$4,'Cálculos'!$N$9:$N$128,'Resumen financiero'!$Q$4)))</f>
        <v/>
      </c>
      <c r="D214" s="1" t="str">
        <f t="shared" si="7"/>
        <v/>
      </c>
      <c r="E214" s="1" t="str">
        <f>IFERROR(__xludf.DUMMYFUNCTION("IFERROR(INDEX(UNIQUE(FILTER('Configuración'!$D$15:$D$134,'Configuración'!$B$15:$B$134=""Gastos"")),64),"""")"),"")</f>
        <v/>
      </c>
      <c r="F214" s="1" t="str">
        <f t="shared" si="8"/>
        <v/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ht="24.75" customHeight="1">
      <c r="A215" s="1"/>
      <c r="B215" s="1" t="str">
        <f>IFERROR(__xludf.DUMMYFUNCTION("IFERROR(INDEX(UNIQUE(FILTER('Configuración'!$D$15:$D$134,'Configuración'!$B$15:$B$134=""Gastos"")),65),"""")"),"")</f>
        <v/>
      </c>
      <c r="C215" s="1" t="str">
        <f>IF(B215="","",IF('Resumen financiero'!$Q$4="Todas",SUMIFS('Cálculos'!$L$9:$L$128,'Cálculos'!$F$9:$F$128,B215,'Cálculos'!$C$9:$C$128,"&gt;="&amp;$C$4,'Cálculos'!$C$9:$C$128,"&lt;"&amp;$D$4),SUMIFS('Cálculos'!$L$9:$L$128,'Cálculos'!$F$9:$F$128,B215,'Cálculos'!$C$9:$C$128,"&gt;="&amp;$C$4,'Cálculos'!$C$9:$C$128,"&lt;"&amp;$D$4,'Cálculos'!$N$9:$N$128,'Resumen financiero'!$Q$4)))</f>
        <v/>
      </c>
      <c r="D215" s="1" t="str">
        <f t="shared" si="7"/>
        <v/>
      </c>
      <c r="E215" s="1" t="str">
        <f>IFERROR(__xludf.DUMMYFUNCTION("IFERROR(INDEX(UNIQUE(FILTER('Configuración'!$D$15:$D$134,'Configuración'!$B$15:$B$134=""Gastos"")),65),"""")"),"")</f>
        <v/>
      </c>
      <c r="F215" s="1" t="str">
        <f t="shared" si="8"/>
        <v/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ht="24.75" customHeight="1">
      <c r="A216" s="1"/>
      <c r="B216" s="1" t="str">
        <f>IFERROR(__xludf.DUMMYFUNCTION("IFERROR(INDEX(UNIQUE(FILTER('Configuración'!$D$15:$D$134,'Configuración'!$B$15:$B$134=""Gastos"")),66),"""")"),"")</f>
        <v/>
      </c>
      <c r="C216" s="1" t="str">
        <f>IF(B216="","",IF('Resumen financiero'!$Q$4="Todas",SUMIFS('Cálculos'!$L$9:$L$128,'Cálculos'!$F$9:$F$128,B216,'Cálculos'!$C$9:$C$128,"&gt;="&amp;$C$4,'Cálculos'!$C$9:$C$128,"&lt;"&amp;$D$4),SUMIFS('Cálculos'!$L$9:$L$128,'Cálculos'!$F$9:$F$128,B216,'Cálculos'!$C$9:$C$128,"&gt;="&amp;$C$4,'Cálculos'!$C$9:$C$128,"&lt;"&amp;$D$4,'Cálculos'!$N$9:$N$128,'Resumen financiero'!$Q$4)))</f>
        <v/>
      </c>
      <c r="D216" s="1" t="str">
        <f t="shared" si="7"/>
        <v/>
      </c>
      <c r="E216" s="1" t="str">
        <f>IFERROR(__xludf.DUMMYFUNCTION("IFERROR(INDEX(UNIQUE(FILTER('Configuración'!$D$15:$D$134,'Configuración'!$B$15:$B$134=""Gastos"")),66),"""")"),"")</f>
        <v/>
      </c>
      <c r="F216" s="1" t="str">
        <f t="shared" si="8"/>
        <v/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ht="24.75" customHeight="1">
      <c r="A217" s="1"/>
      <c r="B217" s="1" t="str">
        <f>IFERROR(__xludf.DUMMYFUNCTION("IFERROR(INDEX(UNIQUE(FILTER('Configuración'!$D$15:$D$134,'Configuración'!$B$15:$B$134=""Gastos"")),67),"""")"),"")</f>
        <v/>
      </c>
      <c r="C217" s="1" t="str">
        <f>IF(B217="","",IF('Resumen financiero'!$Q$4="Todas",SUMIFS('Cálculos'!$L$9:$L$128,'Cálculos'!$F$9:$F$128,B217,'Cálculos'!$C$9:$C$128,"&gt;="&amp;$C$4,'Cálculos'!$C$9:$C$128,"&lt;"&amp;$D$4),SUMIFS('Cálculos'!$L$9:$L$128,'Cálculos'!$F$9:$F$128,B217,'Cálculos'!$C$9:$C$128,"&gt;="&amp;$C$4,'Cálculos'!$C$9:$C$128,"&lt;"&amp;$D$4,'Cálculos'!$N$9:$N$128,'Resumen financiero'!$Q$4)))</f>
        <v/>
      </c>
      <c r="D217" s="1" t="str">
        <f t="shared" si="7"/>
        <v/>
      </c>
      <c r="E217" s="1" t="str">
        <f>IFERROR(__xludf.DUMMYFUNCTION("IFERROR(INDEX(UNIQUE(FILTER('Configuración'!$D$15:$D$134,'Configuración'!$B$15:$B$134=""Gastos"")),67),"""")"),"")</f>
        <v/>
      </c>
      <c r="F217" s="1" t="str">
        <f t="shared" si="8"/>
        <v/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ht="24.75" customHeight="1">
      <c r="A218" s="1"/>
      <c r="B218" s="1" t="str">
        <f>IFERROR(__xludf.DUMMYFUNCTION("IFERROR(INDEX(UNIQUE(FILTER('Configuración'!$D$15:$D$134,'Configuración'!$B$15:$B$134=""Gastos"")),68),"""")"),"")</f>
        <v/>
      </c>
      <c r="C218" s="1" t="str">
        <f>IF(B218="","",IF('Resumen financiero'!$Q$4="Todas",SUMIFS('Cálculos'!$L$9:$L$128,'Cálculos'!$F$9:$F$128,B218,'Cálculos'!$C$9:$C$128,"&gt;="&amp;$C$4,'Cálculos'!$C$9:$C$128,"&lt;"&amp;$D$4),SUMIFS('Cálculos'!$L$9:$L$128,'Cálculos'!$F$9:$F$128,B218,'Cálculos'!$C$9:$C$128,"&gt;="&amp;$C$4,'Cálculos'!$C$9:$C$128,"&lt;"&amp;$D$4,'Cálculos'!$N$9:$N$128,'Resumen financiero'!$Q$4)))</f>
        <v/>
      </c>
      <c r="D218" s="1" t="str">
        <f t="shared" si="7"/>
        <v/>
      </c>
      <c r="E218" s="1" t="str">
        <f>IFERROR(__xludf.DUMMYFUNCTION("IFERROR(INDEX(UNIQUE(FILTER('Configuración'!$D$15:$D$134,'Configuración'!$B$15:$B$134=""Gastos"")),68),"""")"),"")</f>
        <v/>
      </c>
      <c r="F218" s="1" t="str">
        <f t="shared" si="8"/>
        <v/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ht="24.75" customHeight="1">
      <c r="A219" s="1"/>
      <c r="B219" s="1" t="str">
        <f>IFERROR(__xludf.DUMMYFUNCTION("IFERROR(INDEX(UNIQUE(FILTER('Configuración'!$D$15:$D$134,'Configuración'!$B$15:$B$134=""Gastos"")),69),"""")"),"")</f>
        <v/>
      </c>
      <c r="C219" s="1" t="str">
        <f>IF(B219="","",IF('Resumen financiero'!$Q$4="Todas",SUMIFS('Cálculos'!$L$9:$L$128,'Cálculos'!$F$9:$F$128,B219,'Cálculos'!$C$9:$C$128,"&gt;="&amp;$C$4,'Cálculos'!$C$9:$C$128,"&lt;"&amp;$D$4),SUMIFS('Cálculos'!$L$9:$L$128,'Cálculos'!$F$9:$F$128,B219,'Cálculos'!$C$9:$C$128,"&gt;="&amp;$C$4,'Cálculos'!$C$9:$C$128,"&lt;"&amp;$D$4,'Cálculos'!$N$9:$N$128,'Resumen financiero'!$Q$4)))</f>
        <v/>
      </c>
      <c r="D219" s="1" t="str">
        <f t="shared" si="7"/>
        <v/>
      </c>
      <c r="E219" s="1" t="str">
        <f>IFERROR(__xludf.DUMMYFUNCTION("IFERROR(INDEX(UNIQUE(FILTER('Configuración'!$D$15:$D$134,'Configuración'!$B$15:$B$134=""Gastos"")),69),"""")"),"")</f>
        <v/>
      </c>
      <c r="F219" s="1" t="str">
        <f t="shared" si="8"/>
        <v/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ht="24.75" customHeight="1">
      <c r="A220" s="1"/>
      <c r="B220" s="1" t="str">
        <f>IFERROR(__xludf.DUMMYFUNCTION("IFERROR(INDEX(UNIQUE(FILTER('Configuración'!$D$15:$D$134,'Configuración'!$B$15:$B$134=""Gastos"")),70),"""")"),"")</f>
        <v/>
      </c>
      <c r="C220" s="1" t="str">
        <f>IF(B220="","",IF('Resumen financiero'!$Q$4="Todas",SUMIFS('Cálculos'!$L$9:$L$128,'Cálculos'!$F$9:$F$128,B220,'Cálculos'!$C$9:$C$128,"&gt;="&amp;$C$4,'Cálculos'!$C$9:$C$128,"&lt;"&amp;$D$4),SUMIFS('Cálculos'!$L$9:$L$128,'Cálculos'!$F$9:$F$128,B220,'Cálculos'!$C$9:$C$128,"&gt;="&amp;$C$4,'Cálculos'!$C$9:$C$128,"&lt;"&amp;$D$4,'Cálculos'!$N$9:$N$128,'Resumen financiero'!$Q$4)))</f>
        <v/>
      </c>
      <c r="D220" s="1" t="str">
        <f t="shared" si="7"/>
        <v/>
      </c>
      <c r="E220" s="1" t="str">
        <f>IFERROR(__xludf.DUMMYFUNCTION("IFERROR(INDEX(UNIQUE(FILTER('Configuración'!$D$15:$D$134,'Configuración'!$B$15:$B$134=""Gastos"")),70),"""")"),"")</f>
        <v/>
      </c>
      <c r="F220" s="1" t="str">
        <f t="shared" si="8"/>
        <v/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ht="24.75" customHeight="1">
      <c r="A221" s="1"/>
      <c r="B221" s="1" t="str">
        <f>IFERROR(__xludf.DUMMYFUNCTION("IFERROR(INDEX(UNIQUE(FILTER('Configuración'!$D$15:$D$134,'Configuración'!$B$15:$B$134=""Gastos"")),71),"""")"),"")</f>
        <v/>
      </c>
      <c r="C221" s="1" t="str">
        <f>IF(B221="","",IF('Resumen financiero'!$Q$4="Todas",SUMIFS('Cálculos'!$L$9:$L$128,'Cálculos'!$F$9:$F$128,B221,'Cálculos'!$C$9:$C$128,"&gt;="&amp;$C$4,'Cálculos'!$C$9:$C$128,"&lt;"&amp;$D$4),SUMIFS('Cálculos'!$L$9:$L$128,'Cálculos'!$F$9:$F$128,B221,'Cálculos'!$C$9:$C$128,"&gt;="&amp;$C$4,'Cálculos'!$C$9:$C$128,"&lt;"&amp;$D$4,'Cálculos'!$N$9:$N$128,'Resumen financiero'!$Q$4)))</f>
        <v/>
      </c>
      <c r="D221" s="1" t="str">
        <f t="shared" si="7"/>
        <v/>
      </c>
      <c r="E221" s="1" t="str">
        <f>IFERROR(__xludf.DUMMYFUNCTION("IFERROR(INDEX(UNIQUE(FILTER('Configuración'!$D$15:$D$134,'Configuración'!$B$15:$B$134=""Gastos"")),71),"""")"),"")</f>
        <v/>
      </c>
      <c r="F221" s="1" t="str">
        <f t="shared" si="8"/>
        <v/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ht="24.75" customHeight="1">
      <c r="A222" s="1"/>
      <c r="B222" s="1" t="str">
        <f>IFERROR(__xludf.DUMMYFUNCTION("IFERROR(INDEX(UNIQUE(FILTER('Configuración'!$D$15:$D$134,'Configuración'!$B$15:$B$134=""Gastos"")),72),"""")"),"")</f>
        <v/>
      </c>
      <c r="C222" s="1" t="str">
        <f>IF(B222="","",IF('Resumen financiero'!$Q$4="Todas",SUMIFS('Cálculos'!$L$9:$L$128,'Cálculos'!$F$9:$F$128,B222,'Cálculos'!$C$9:$C$128,"&gt;="&amp;$C$4,'Cálculos'!$C$9:$C$128,"&lt;"&amp;$D$4),SUMIFS('Cálculos'!$L$9:$L$128,'Cálculos'!$F$9:$F$128,B222,'Cálculos'!$C$9:$C$128,"&gt;="&amp;$C$4,'Cálculos'!$C$9:$C$128,"&lt;"&amp;$D$4,'Cálculos'!$N$9:$N$128,'Resumen financiero'!$Q$4)))</f>
        <v/>
      </c>
      <c r="D222" s="1" t="str">
        <f t="shared" si="7"/>
        <v/>
      </c>
      <c r="E222" s="1" t="str">
        <f>IFERROR(__xludf.DUMMYFUNCTION("IFERROR(INDEX(UNIQUE(FILTER('Configuración'!$D$15:$D$134,'Configuración'!$B$15:$B$134=""Gastos"")),72),"""")"),"")</f>
        <v/>
      </c>
      <c r="F222" s="1" t="str">
        <f t="shared" si="8"/>
        <v/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ht="24.75" customHeight="1">
      <c r="A223" s="1"/>
      <c r="B223" s="1" t="str">
        <f>IFERROR(__xludf.DUMMYFUNCTION("IFERROR(INDEX(UNIQUE(FILTER('Configuración'!$D$15:$D$134,'Configuración'!$B$15:$B$134=""Gastos"")),73),"""")"),"")</f>
        <v/>
      </c>
      <c r="C223" s="1" t="str">
        <f>IF(B223="","",IF('Resumen financiero'!$Q$4="Todas",SUMIFS('Cálculos'!$L$9:$L$128,'Cálculos'!$F$9:$F$128,B223,'Cálculos'!$C$9:$C$128,"&gt;="&amp;$C$4,'Cálculos'!$C$9:$C$128,"&lt;"&amp;$D$4),SUMIFS('Cálculos'!$L$9:$L$128,'Cálculos'!$F$9:$F$128,B223,'Cálculos'!$C$9:$C$128,"&gt;="&amp;$C$4,'Cálculos'!$C$9:$C$128,"&lt;"&amp;$D$4,'Cálculos'!$N$9:$N$128,'Resumen financiero'!$Q$4)))</f>
        <v/>
      </c>
      <c r="D223" s="1" t="str">
        <f t="shared" si="7"/>
        <v/>
      </c>
      <c r="E223" s="1" t="str">
        <f>IFERROR(__xludf.DUMMYFUNCTION("IFERROR(INDEX(UNIQUE(FILTER('Configuración'!$D$15:$D$134,'Configuración'!$B$15:$B$134=""Gastos"")),73),"""")"),"")</f>
        <v/>
      </c>
      <c r="F223" s="1" t="str">
        <f t="shared" si="8"/>
        <v/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ht="24.75" customHeight="1">
      <c r="A224" s="1"/>
      <c r="B224" s="1" t="str">
        <f>IFERROR(__xludf.DUMMYFUNCTION("IFERROR(INDEX(UNIQUE(FILTER('Configuración'!$D$15:$D$134,'Configuración'!$B$15:$B$134=""Gastos"")),74),"""")"),"")</f>
        <v/>
      </c>
      <c r="C224" s="1" t="str">
        <f>IF(B224="","",IF('Resumen financiero'!$Q$4="Todas",SUMIFS('Cálculos'!$L$9:$L$128,'Cálculos'!$F$9:$F$128,B224,'Cálculos'!$C$9:$C$128,"&gt;="&amp;$C$4,'Cálculos'!$C$9:$C$128,"&lt;"&amp;$D$4),SUMIFS('Cálculos'!$L$9:$L$128,'Cálculos'!$F$9:$F$128,B224,'Cálculos'!$C$9:$C$128,"&gt;="&amp;$C$4,'Cálculos'!$C$9:$C$128,"&lt;"&amp;$D$4,'Cálculos'!$N$9:$N$128,'Resumen financiero'!$Q$4)))</f>
        <v/>
      </c>
      <c r="D224" s="1" t="str">
        <f t="shared" si="7"/>
        <v/>
      </c>
      <c r="E224" s="1" t="str">
        <f>IFERROR(__xludf.DUMMYFUNCTION("IFERROR(INDEX(UNIQUE(FILTER('Configuración'!$D$15:$D$134,'Configuración'!$B$15:$B$134=""Gastos"")),74),"""")"),"")</f>
        <v/>
      </c>
      <c r="F224" s="1" t="str">
        <f t="shared" si="8"/>
        <v/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ht="24.75" customHeight="1">
      <c r="A225" s="1"/>
      <c r="B225" s="1" t="str">
        <f>IFERROR(__xludf.DUMMYFUNCTION("IFERROR(INDEX(UNIQUE(FILTER('Configuración'!$D$15:$D$134,'Configuración'!$B$15:$B$134=""Gastos"")),75),"""")"),"")</f>
        <v/>
      </c>
      <c r="C225" s="1" t="str">
        <f>IF(B225="","",IF('Resumen financiero'!$Q$4="Todas",SUMIFS('Cálculos'!$L$9:$L$128,'Cálculos'!$F$9:$F$128,B225,'Cálculos'!$C$9:$C$128,"&gt;="&amp;$C$4,'Cálculos'!$C$9:$C$128,"&lt;"&amp;$D$4),SUMIFS('Cálculos'!$L$9:$L$128,'Cálculos'!$F$9:$F$128,B225,'Cálculos'!$C$9:$C$128,"&gt;="&amp;$C$4,'Cálculos'!$C$9:$C$128,"&lt;"&amp;$D$4,'Cálculos'!$N$9:$N$128,'Resumen financiero'!$Q$4)))</f>
        <v/>
      </c>
      <c r="D225" s="1" t="str">
        <f t="shared" si="7"/>
        <v/>
      </c>
      <c r="E225" s="1" t="str">
        <f>IFERROR(__xludf.DUMMYFUNCTION("IFERROR(INDEX(UNIQUE(FILTER('Configuración'!$D$15:$D$134,'Configuración'!$B$15:$B$134=""Gastos"")),75),"""")"),"")</f>
        <v/>
      </c>
      <c r="F225" s="1" t="str">
        <f t="shared" si="8"/>
        <v/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ht="24.75" customHeight="1">
      <c r="A226" s="1"/>
      <c r="B226" s="1" t="str">
        <f>IFERROR(__xludf.DUMMYFUNCTION("IFERROR(INDEX(UNIQUE(FILTER('Configuración'!$D$15:$D$134,'Configuración'!$B$15:$B$134=""Gastos"")),76),"""")"),"")</f>
        <v/>
      </c>
      <c r="C226" s="1" t="str">
        <f>IF(B226="","",IF('Resumen financiero'!$Q$4="Todas",SUMIFS('Cálculos'!$L$9:$L$128,'Cálculos'!$F$9:$F$128,B226,'Cálculos'!$C$9:$C$128,"&gt;="&amp;$C$4,'Cálculos'!$C$9:$C$128,"&lt;"&amp;$D$4),SUMIFS('Cálculos'!$L$9:$L$128,'Cálculos'!$F$9:$F$128,B226,'Cálculos'!$C$9:$C$128,"&gt;="&amp;$C$4,'Cálculos'!$C$9:$C$128,"&lt;"&amp;$D$4,'Cálculos'!$N$9:$N$128,'Resumen financiero'!$Q$4)))</f>
        <v/>
      </c>
      <c r="D226" s="1" t="str">
        <f t="shared" si="7"/>
        <v/>
      </c>
      <c r="E226" s="1" t="str">
        <f>IFERROR(__xludf.DUMMYFUNCTION("IFERROR(INDEX(UNIQUE(FILTER('Configuración'!$D$15:$D$134,'Configuración'!$B$15:$B$134=""Gastos"")),76),"""")"),"")</f>
        <v/>
      </c>
      <c r="F226" s="1" t="str">
        <f t="shared" si="8"/>
        <v/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ht="24.75" customHeight="1">
      <c r="A227" s="1"/>
      <c r="B227" s="1" t="str">
        <f>IFERROR(__xludf.DUMMYFUNCTION("IFERROR(INDEX(UNIQUE(FILTER('Configuración'!$D$15:$D$134,'Configuración'!$B$15:$B$134=""Gastos"")),77),"""")"),"")</f>
        <v/>
      </c>
      <c r="C227" s="1" t="str">
        <f>IF(B227="","",IF('Resumen financiero'!$Q$4="Todas",SUMIFS('Cálculos'!$L$9:$L$128,'Cálculos'!$F$9:$F$128,B227,'Cálculos'!$C$9:$C$128,"&gt;="&amp;$C$4,'Cálculos'!$C$9:$C$128,"&lt;"&amp;$D$4),SUMIFS('Cálculos'!$L$9:$L$128,'Cálculos'!$F$9:$F$128,B227,'Cálculos'!$C$9:$C$128,"&gt;="&amp;$C$4,'Cálculos'!$C$9:$C$128,"&lt;"&amp;$D$4,'Cálculos'!$N$9:$N$128,'Resumen financiero'!$Q$4)))</f>
        <v/>
      </c>
      <c r="D227" s="1" t="str">
        <f t="shared" si="7"/>
        <v/>
      </c>
      <c r="E227" s="1" t="str">
        <f>IFERROR(__xludf.DUMMYFUNCTION("IFERROR(INDEX(UNIQUE(FILTER('Configuración'!$D$15:$D$134,'Configuración'!$B$15:$B$134=""Gastos"")),77),"""")"),"")</f>
        <v/>
      </c>
      <c r="F227" s="1" t="str">
        <f t="shared" si="8"/>
        <v/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ht="24.75" customHeight="1">
      <c r="A228" s="1"/>
      <c r="B228" s="1" t="str">
        <f>IFERROR(__xludf.DUMMYFUNCTION("IFERROR(INDEX(UNIQUE(FILTER('Configuración'!$D$15:$D$134,'Configuración'!$B$15:$B$134=""Gastos"")),78),"""")"),"")</f>
        <v/>
      </c>
      <c r="C228" s="1" t="str">
        <f>IF(B228="","",IF('Resumen financiero'!$Q$4="Todas",SUMIFS('Cálculos'!$L$9:$L$128,'Cálculos'!$F$9:$F$128,B228,'Cálculos'!$C$9:$C$128,"&gt;="&amp;$C$4,'Cálculos'!$C$9:$C$128,"&lt;"&amp;$D$4),SUMIFS('Cálculos'!$L$9:$L$128,'Cálculos'!$F$9:$F$128,B228,'Cálculos'!$C$9:$C$128,"&gt;="&amp;$C$4,'Cálculos'!$C$9:$C$128,"&lt;"&amp;$D$4,'Cálculos'!$N$9:$N$128,'Resumen financiero'!$Q$4)))</f>
        <v/>
      </c>
      <c r="D228" s="1" t="str">
        <f t="shared" si="7"/>
        <v/>
      </c>
      <c r="E228" s="1" t="str">
        <f>IFERROR(__xludf.DUMMYFUNCTION("IFERROR(INDEX(UNIQUE(FILTER('Configuración'!$D$15:$D$134,'Configuración'!$B$15:$B$134=""Gastos"")),78),"""")"),"")</f>
        <v/>
      </c>
      <c r="F228" s="1" t="str">
        <f t="shared" si="8"/>
        <v/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ht="24.75" customHeight="1">
      <c r="A229" s="1"/>
      <c r="B229" s="1" t="str">
        <f>IFERROR(__xludf.DUMMYFUNCTION("IFERROR(INDEX(UNIQUE(FILTER('Configuración'!$D$15:$D$134,'Configuración'!$B$15:$B$134=""Gastos"")),79),"""")"),"")</f>
        <v/>
      </c>
      <c r="C229" s="1" t="str">
        <f>IF(B229="","",IF('Resumen financiero'!$Q$4="Todas",SUMIFS('Cálculos'!$L$9:$L$128,'Cálculos'!$F$9:$F$128,B229,'Cálculos'!$C$9:$C$128,"&gt;="&amp;$C$4,'Cálculos'!$C$9:$C$128,"&lt;"&amp;$D$4),SUMIFS('Cálculos'!$L$9:$L$128,'Cálculos'!$F$9:$F$128,B229,'Cálculos'!$C$9:$C$128,"&gt;="&amp;$C$4,'Cálculos'!$C$9:$C$128,"&lt;"&amp;$D$4,'Cálculos'!$N$9:$N$128,'Resumen financiero'!$Q$4)))</f>
        <v/>
      </c>
      <c r="D229" s="1" t="str">
        <f t="shared" si="7"/>
        <v/>
      </c>
      <c r="E229" s="1" t="str">
        <f>IFERROR(__xludf.DUMMYFUNCTION("IFERROR(INDEX(UNIQUE(FILTER('Configuración'!$D$15:$D$134,'Configuración'!$B$15:$B$134=""Gastos"")),79),"""")"),"")</f>
        <v/>
      </c>
      <c r="F229" s="1" t="str">
        <f t="shared" si="8"/>
        <v/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ht="24.75" customHeight="1">
      <c r="A230" s="1"/>
      <c r="B230" s="1" t="str">
        <f>IFERROR(__xludf.DUMMYFUNCTION("IFERROR(INDEX(UNIQUE(FILTER('Configuración'!$D$15:$D$134,'Configuración'!$B$15:$B$134=""Gastos"")),80),"""")"),"")</f>
        <v/>
      </c>
      <c r="C230" s="1" t="str">
        <f>IF(B230="","",IF('Resumen financiero'!$Q$4="Todas",SUMIFS('Cálculos'!$L$9:$L$128,'Cálculos'!$F$9:$F$128,B230,'Cálculos'!$C$9:$C$128,"&gt;="&amp;$C$4,'Cálculos'!$C$9:$C$128,"&lt;"&amp;$D$4),SUMIFS('Cálculos'!$L$9:$L$128,'Cálculos'!$F$9:$F$128,B230,'Cálculos'!$C$9:$C$128,"&gt;="&amp;$C$4,'Cálculos'!$C$9:$C$128,"&lt;"&amp;$D$4,'Cálculos'!$N$9:$N$128,'Resumen financiero'!$Q$4)))</f>
        <v/>
      </c>
      <c r="D230" s="1" t="str">
        <f t="shared" si="7"/>
        <v/>
      </c>
      <c r="E230" s="1" t="str">
        <f>IFERROR(__xludf.DUMMYFUNCTION("IFERROR(INDEX(UNIQUE(FILTER('Configuración'!$D$15:$D$134,'Configuración'!$B$15:$B$134=""Gastos"")),80),"""")"),"")</f>
        <v/>
      </c>
      <c r="F230" s="1" t="str">
        <f t="shared" si="8"/>
        <v/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ht="24.75" customHeight="1">
      <c r="A231" s="1"/>
      <c r="B231" s="1" t="str">
        <f>IFERROR(__xludf.DUMMYFUNCTION("IFERROR(INDEX(UNIQUE(FILTER('Configuración'!$D$15:$D$134,'Configuración'!$B$15:$B$134=""Gastos"")),81),"""")"),"")</f>
        <v/>
      </c>
      <c r="C231" s="1" t="str">
        <f>IF(B231="","",IF('Resumen financiero'!$Q$4="Todas",SUMIFS('Cálculos'!$L$9:$L$128,'Cálculos'!$F$9:$F$128,B231,'Cálculos'!$C$9:$C$128,"&gt;="&amp;$C$4,'Cálculos'!$C$9:$C$128,"&lt;"&amp;$D$4),SUMIFS('Cálculos'!$L$9:$L$128,'Cálculos'!$F$9:$F$128,B231,'Cálculos'!$C$9:$C$128,"&gt;="&amp;$C$4,'Cálculos'!$C$9:$C$128,"&lt;"&amp;$D$4,'Cálculos'!$N$9:$N$128,'Resumen financiero'!$Q$4)))</f>
        <v/>
      </c>
      <c r="D231" s="1" t="str">
        <f t="shared" si="7"/>
        <v/>
      </c>
      <c r="E231" s="1" t="str">
        <f>IFERROR(__xludf.DUMMYFUNCTION("IFERROR(INDEX(UNIQUE(FILTER('Configuración'!$D$15:$D$134,'Configuración'!$B$15:$B$134=""Gastos"")),81),"""")"),"")</f>
        <v/>
      </c>
      <c r="F231" s="1" t="str">
        <f t="shared" si="8"/>
        <v/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ht="24.75" customHeight="1">
      <c r="A232" s="1"/>
      <c r="B232" s="1" t="str">
        <f>IFERROR(__xludf.DUMMYFUNCTION("IFERROR(INDEX(UNIQUE(FILTER('Configuración'!$D$15:$D$134,'Configuración'!$B$15:$B$134=""Gastos"")),82),"""")"),"")</f>
        <v/>
      </c>
      <c r="C232" s="1" t="str">
        <f>IF(B232="","",IF('Resumen financiero'!$Q$4="Todas",SUMIFS('Cálculos'!$L$9:$L$128,'Cálculos'!$F$9:$F$128,B232,'Cálculos'!$C$9:$C$128,"&gt;="&amp;$C$4,'Cálculos'!$C$9:$C$128,"&lt;"&amp;$D$4),SUMIFS('Cálculos'!$L$9:$L$128,'Cálculos'!$F$9:$F$128,B232,'Cálculos'!$C$9:$C$128,"&gt;="&amp;$C$4,'Cálculos'!$C$9:$C$128,"&lt;"&amp;$D$4,'Cálculos'!$N$9:$N$128,'Resumen financiero'!$Q$4)))</f>
        <v/>
      </c>
      <c r="D232" s="1" t="str">
        <f t="shared" si="7"/>
        <v/>
      </c>
      <c r="E232" s="1" t="str">
        <f>IFERROR(__xludf.DUMMYFUNCTION("IFERROR(INDEX(UNIQUE(FILTER('Configuración'!$D$15:$D$134,'Configuración'!$B$15:$B$134=""Gastos"")),82),"""")"),"")</f>
        <v/>
      </c>
      <c r="F232" s="1" t="str">
        <f t="shared" si="8"/>
        <v/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ht="24.75" customHeight="1">
      <c r="A233" s="1"/>
      <c r="B233" s="1" t="str">
        <f>IFERROR(__xludf.DUMMYFUNCTION("IFERROR(INDEX(UNIQUE(FILTER('Configuración'!$D$15:$D$134,'Configuración'!$B$15:$B$134=""Gastos"")),83),"""")"),"")</f>
        <v/>
      </c>
      <c r="C233" s="1" t="str">
        <f>IF(B233="","",IF('Resumen financiero'!$Q$4="Todas",SUMIFS('Cálculos'!$L$9:$L$128,'Cálculos'!$F$9:$F$128,B233,'Cálculos'!$C$9:$C$128,"&gt;="&amp;$C$4,'Cálculos'!$C$9:$C$128,"&lt;"&amp;$D$4),SUMIFS('Cálculos'!$L$9:$L$128,'Cálculos'!$F$9:$F$128,B233,'Cálculos'!$C$9:$C$128,"&gt;="&amp;$C$4,'Cálculos'!$C$9:$C$128,"&lt;"&amp;$D$4,'Cálculos'!$N$9:$N$128,'Resumen financiero'!$Q$4)))</f>
        <v/>
      </c>
      <c r="D233" s="1" t="str">
        <f t="shared" si="7"/>
        <v/>
      </c>
      <c r="E233" s="1" t="str">
        <f>IFERROR(__xludf.DUMMYFUNCTION("IFERROR(INDEX(UNIQUE(FILTER('Configuración'!$D$15:$D$134,'Configuración'!$B$15:$B$134=""Gastos"")),83),"""")"),"")</f>
        <v/>
      </c>
      <c r="F233" s="1" t="str">
        <f t="shared" si="8"/>
        <v/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ht="24.75" customHeight="1">
      <c r="A234" s="1"/>
      <c r="B234" s="1" t="str">
        <f>IFERROR(__xludf.DUMMYFUNCTION("IFERROR(INDEX(UNIQUE(FILTER('Configuración'!$D$15:$D$134,'Configuración'!$B$15:$B$134=""Gastos"")),84),"""")"),"")</f>
        <v/>
      </c>
      <c r="C234" s="1" t="str">
        <f>IF(B234="","",IF('Resumen financiero'!$Q$4="Todas",SUMIFS('Cálculos'!$L$9:$L$128,'Cálculos'!$F$9:$F$128,B234,'Cálculos'!$C$9:$C$128,"&gt;="&amp;$C$4,'Cálculos'!$C$9:$C$128,"&lt;"&amp;$D$4),SUMIFS('Cálculos'!$L$9:$L$128,'Cálculos'!$F$9:$F$128,B234,'Cálculos'!$C$9:$C$128,"&gt;="&amp;$C$4,'Cálculos'!$C$9:$C$128,"&lt;"&amp;$D$4,'Cálculos'!$N$9:$N$128,'Resumen financiero'!$Q$4)))</f>
        <v/>
      </c>
      <c r="D234" s="1" t="str">
        <f t="shared" si="7"/>
        <v/>
      </c>
      <c r="E234" s="1" t="str">
        <f>IFERROR(__xludf.DUMMYFUNCTION("IFERROR(INDEX(UNIQUE(FILTER('Configuración'!$D$15:$D$134,'Configuración'!$B$15:$B$134=""Gastos"")),84),"""")"),"")</f>
        <v/>
      </c>
      <c r="F234" s="1" t="str">
        <f t="shared" si="8"/>
        <v/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ht="24.75" customHeight="1">
      <c r="A235" s="1"/>
      <c r="B235" s="1" t="str">
        <f>IFERROR(__xludf.DUMMYFUNCTION("IFERROR(INDEX(UNIQUE(FILTER('Configuración'!$D$15:$D$134,'Configuración'!$B$15:$B$134=""Gastos"")),85),"""")"),"")</f>
        <v/>
      </c>
      <c r="C235" s="1" t="str">
        <f>IF(B235="","",IF('Resumen financiero'!$Q$4="Todas",SUMIFS('Cálculos'!$L$9:$L$128,'Cálculos'!$F$9:$F$128,B235,'Cálculos'!$C$9:$C$128,"&gt;="&amp;$C$4,'Cálculos'!$C$9:$C$128,"&lt;"&amp;$D$4),SUMIFS('Cálculos'!$L$9:$L$128,'Cálculos'!$F$9:$F$128,B235,'Cálculos'!$C$9:$C$128,"&gt;="&amp;$C$4,'Cálculos'!$C$9:$C$128,"&lt;"&amp;$D$4,'Cálculos'!$N$9:$N$128,'Resumen financiero'!$Q$4)))</f>
        <v/>
      </c>
      <c r="D235" s="1" t="str">
        <f t="shared" si="7"/>
        <v/>
      </c>
      <c r="E235" s="1" t="str">
        <f>IFERROR(__xludf.DUMMYFUNCTION("IFERROR(INDEX(UNIQUE(FILTER('Configuración'!$D$15:$D$134,'Configuración'!$B$15:$B$134=""Gastos"")),85),"""")"),"")</f>
        <v/>
      </c>
      <c r="F235" s="1" t="str">
        <f t="shared" si="8"/>
        <v/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ht="24.75" customHeight="1">
      <c r="A236" s="1"/>
      <c r="B236" s="1" t="str">
        <f>IFERROR(__xludf.DUMMYFUNCTION("IFERROR(INDEX(UNIQUE(FILTER('Configuración'!$D$15:$D$134,'Configuración'!$B$15:$B$134=""Gastos"")),86),"""")"),"")</f>
        <v/>
      </c>
      <c r="C236" s="1" t="str">
        <f>IF(B236="","",IF('Resumen financiero'!$Q$4="Todas",SUMIFS('Cálculos'!$L$9:$L$128,'Cálculos'!$F$9:$F$128,B236,'Cálculos'!$C$9:$C$128,"&gt;="&amp;$C$4,'Cálculos'!$C$9:$C$128,"&lt;"&amp;$D$4),SUMIFS('Cálculos'!$L$9:$L$128,'Cálculos'!$F$9:$F$128,B236,'Cálculos'!$C$9:$C$128,"&gt;="&amp;$C$4,'Cálculos'!$C$9:$C$128,"&lt;"&amp;$D$4,'Cálculos'!$N$9:$N$128,'Resumen financiero'!$Q$4)))</f>
        <v/>
      </c>
      <c r="D236" s="1" t="str">
        <f t="shared" si="7"/>
        <v/>
      </c>
      <c r="E236" s="1" t="str">
        <f>IFERROR(__xludf.DUMMYFUNCTION("IFERROR(INDEX(UNIQUE(FILTER('Configuración'!$D$15:$D$134,'Configuración'!$B$15:$B$134=""Gastos"")),86),"""")"),"")</f>
        <v/>
      </c>
      <c r="F236" s="1" t="str">
        <f t="shared" si="8"/>
        <v/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ht="24.75" customHeight="1">
      <c r="A237" s="1"/>
      <c r="B237" s="1" t="str">
        <f>IFERROR(__xludf.DUMMYFUNCTION("IFERROR(INDEX(UNIQUE(FILTER('Configuración'!$D$15:$D$134,'Configuración'!$B$15:$B$134=""Gastos"")),87),"""")"),"")</f>
        <v/>
      </c>
      <c r="C237" s="1" t="str">
        <f>IF(B237="","",IF('Resumen financiero'!$Q$4="Todas",SUMIFS('Cálculos'!$L$9:$L$128,'Cálculos'!$F$9:$F$128,B237,'Cálculos'!$C$9:$C$128,"&gt;="&amp;$C$4,'Cálculos'!$C$9:$C$128,"&lt;"&amp;$D$4),SUMIFS('Cálculos'!$L$9:$L$128,'Cálculos'!$F$9:$F$128,B237,'Cálculos'!$C$9:$C$128,"&gt;="&amp;$C$4,'Cálculos'!$C$9:$C$128,"&lt;"&amp;$D$4,'Cálculos'!$N$9:$N$128,'Resumen financiero'!$Q$4)))</f>
        <v/>
      </c>
      <c r="D237" s="1" t="str">
        <f t="shared" si="7"/>
        <v/>
      </c>
      <c r="E237" s="1" t="str">
        <f>IFERROR(__xludf.DUMMYFUNCTION("IFERROR(INDEX(UNIQUE(FILTER('Configuración'!$D$15:$D$134,'Configuración'!$B$15:$B$134=""Gastos"")),87),"""")"),"")</f>
        <v/>
      </c>
      <c r="F237" s="1" t="str">
        <f t="shared" si="8"/>
        <v/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ht="24.75" customHeight="1">
      <c r="A238" s="1"/>
      <c r="B238" s="1" t="str">
        <f>IFERROR(__xludf.DUMMYFUNCTION("IFERROR(INDEX(UNIQUE(FILTER('Configuración'!$D$15:$D$134,'Configuración'!$B$15:$B$134=""Gastos"")),88),"""")"),"")</f>
        <v/>
      </c>
      <c r="C238" s="1" t="str">
        <f>IF(B238="","",IF('Resumen financiero'!$Q$4="Todas",SUMIFS('Cálculos'!$L$9:$L$128,'Cálculos'!$F$9:$F$128,B238,'Cálculos'!$C$9:$C$128,"&gt;="&amp;$C$4,'Cálculos'!$C$9:$C$128,"&lt;"&amp;$D$4),SUMIFS('Cálculos'!$L$9:$L$128,'Cálculos'!$F$9:$F$128,B238,'Cálculos'!$C$9:$C$128,"&gt;="&amp;$C$4,'Cálculos'!$C$9:$C$128,"&lt;"&amp;$D$4,'Cálculos'!$N$9:$N$128,'Resumen financiero'!$Q$4)))</f>
        <v/>
      </c>
      <c r="D238" s="1" t="str">
        <f t="shared" si="7"/>
        <v/>
      </c>
      <c r="E238" s="1" t="str">
        <f>IFERROR(__xludf.DUMMYFUNCTION("IFERROR(INDEX(UNIQUE(FILTER('Configuración'!$D$15:$D$134,'Configuración'!$B$15:$B$134=""Gastos"")),88),"""")"),"")</f>
        <v/>
      </c>
      <c r="F238" s="1" t="str">
        <f t="shared" si="8"/>
        <v/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ht="24.75" customHeight="1">
      <c r="A239" s="1"/>
      <c r="B239" s="1" t="str">
        <f>IFERROR(__xludf.DUMMYFUNCTION("IFERROR(INDEX(UNIQUE(FILTER('Configuración'!$D$15:$D$134,'Configuración'!$B$15:$B$134=""Gastos"")),89),"""")"),"")</f>
        <v/>
      </c>
      <c r="C239" s="1" t="str">
        <f>IF(B239="","",IF('Resumen financiero'!$Q$4="Todas",SUMIFS('Cálculos'!$L$9:$L$128,'Cálculos'!$F$9:$F$128,B239,'Cálculos'!$C$9:$C$128,"&gt;="&amp;$C$4,'Cálculos'!$C$9:$C$128,"&lt;"&amp;$D$4),SUMIFS('Cálculos'!$L$9:$L$128,'Cálculos'!$F$9:$F$128,B239,'Cálculos'!$C$9:$C$128,"&gt;="&amp;$C$4,'Cálculos'!$C$9:$C$128,"&lt;"&amp;$D$4,'Cálculos'!$N$9:$N$128,'Resumen financiero'!$Q$4)))</f>
        <v/>
      </c>
      <c r="D239" s="1" t="str">
        <f t="shared" si="7"/>
        <v/>
      </c>
      <c r="E239" s="1" t="str">
        <f>IFERROR(__xludf.DUMMYFUNCTION("IFERROR(INDEX(UNIQUE(FILTER('Configuración'!$D$15:$D$134,'Configuración'!$B$15:$B$134=""Gastos"")),89),"""")"),"")</f>
        <v/>
      </c>
      <c r="F239" s="1" t="str">
        <f t="shared" si="8"/>
        <v/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ht="24.75" customHeight="1">
      <c r="A240" s="1"/>
      <c r="B240" s="1" t="str">
        <f>IFERROR(__xludf.DUMMYFUNCTION("IFERROR(INDEX(UNIQUE(FILTER('Configuración'!$D$15:$D$134,'Configuración'!$B$15:$B$134=""Gastos"")),90),"""")"),"")</f>
        <v/>
      </c>
      <c r="C240" s="1" t="str">
        <f>IF(B240="","",IF('Resumen financiero'!$Q$4="Todas",SUMIFS('Cálculos'!$L$9:$L$128,'Cálculos'!$F$9:$F$128,B240,'Cálculos'!$C$9:$C$128,"&gt;="&amp;$C$4,'Cálculos'!$C$9:$C$128,"&lt;"&amp;$D$4),SUMIFS('Cálculos'!$L$9:$L$128,'Cálculos'!$F$9:$F$128,B240,'Cálculos'!$C$9:$C$128,"&gt;="&amp;$C$4,'Cálculos'!$C$9:$C$128,"&lt;"&amp;$D$4,'Cálculos'!$N$9:$N$128,'Resumen financiero'!$Q$4)))</f>
        <v/>
      </c>
      <c r="D240" s="1" t="str">
        <f t="shared" si="7"/>
        <v/>
      </c>
      <c r="E240" s="1" t="str">
        <f>IFERROR(__xludf.DUMMYFUNCTION("IFERROR(INDEX(UNIQUE(FILTER('Configuración'!$D$15:$D$134,'Configuración'!$B$15:$B$134=""Gastos"")),90),"""")"),"")</f>
        <v/>
      </c>
      <c r="F240" s="1" t="str">
        <f t="shared" si="8"/>
        <v/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ht="24.75" customHeight="1">
      <c r="A241" s="1"/>
      <c r="B241" s="1" t="str">
        <f>IFERROR(__xludf.DUMMYFUNCTION("IFERROR(INDEX(UNIQUE(FILTER('Configuración'!$D$15:$D$134,'Configuración'!$B$15:$B$134=""Gastos"")),91),"""")"),"")</f>
        <v/>
      </c>
      <c r="C241" s="1" t="str">
        <f>IF(B241="","",IF('Resumen financiero'!$Q$4="Todas",SUMIFS('Cálculos'!$L$9:$L$128,'Cálculos'!$F$9:$F$128,B241,'Cálculos'!$C$9:$C$128,"&gt;="&amp;$C$4,'Cálculos'!$C$9:$C$128,"&lt;"&amp;$D$4),SUMIFS('Cálculos'!$L$9:$L$128,'Cálculos'!$F$9:$F$128,B241,'Cálculos'!$C$9:$C$128,"&gt;="&amp;$C$4,'Cálculos'!$C$9:$C$128,"&lt;"&amp;$D$4,'Cálculos'!$N$9:$N$128,'Resumen financiero'!$Q$4)))</f>
        <v/>
      </c>
      <c r="D241" s="1" t="str">
        <f t="shared" si="7"/>
        <v/>
      </c>
      <c r="E241" s="1" t="str">
        <f>IFERROR(__xludf.DUMMYFUNCTION("IFERROR(INDEX(UNIQUE(FILTER('Configuración'!$D$15:$D$134,'Configuración'!$B$15:$B$134=""Gastos"")),91),"""")"),"")</f>
        <v/>
      </c>
      <c r="F241" s="1" t="str">
        <f t="shared" si="8"/>
        <v/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ht="24.75" customHeight="1">
      <c r="A242" s="1"/>
      <c r="B242" s="1" t="str">
        <f>IFERROR(__xludf.DUMMYFUNCTION("IFERROR(INDEX(UNIQUE(FILTER('Configuración'!$D$15:$D$134,'Configuración'!$B$15:$B$134=""Gastos"")),92),"""")"),"")</f>
        <v/>
      </c>
      <c r="C242" s="1" t="str">
        <f>IF(B242="","",IF('Resumen financiero'!$Q$4="Todas",SUMIFS('Cálculos'!$L$9:$L$128,'Cálculos'!$F$9:$F$128,B242,'Cálculos'!$C$9:$C$128,"&gt;="&amp;$C$4,'Cálculos'!$C$9:$C$128,"&lt;"&amp;$D$4),SUMIFS('Cálculos'!$L$9:$L$128,'Cálculos'!$F$9:$F$128,B242,'Cálculos'!$C$9:$C$128,"&gt;="&amp;$C$4,'Cálculos'!$C$9:$C$128,"&lt;"&amp;$D$4,'Cálculos'!$N$9:$N$128,'Resumen financiero'!$Q$4)))</f>
        <v/>
      </c>
      <c r="D242" s="1" t="str">
        <f t="shared" si="7"/>
        <v/>
      </c>
      <c r="E242" s="1" t="str">
        <f>IFERROR(__xludf.DUMMYFUNCTION("IFERROR(INDEX(UNIQUE(FILTER('Configuración'!$D$15:$D$134,'Configuración'!$B$15:$B$134=""Gastos"")),92),"""")"),"")</f>
        <v/>
      </c>
      <c r="F242" s="1" t="str">
        <f t="shared" si="8"/>
        <v/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ht="24.75" customHeight="1">
      <c r="A243" s="1"/>
      <c r="B243" s="1" t="str">
        <f>IFERROR(__xludf.DUMMYFUNCTION("IFERROR(INDEX(UNIQUE(FILTER('Configuración'!$D$15:$D$134,'Configuración'!$B$15:$B$134=""Gastos"")),93),"""")"),"")</f>
        <v/>
      </c>
      <c r="C243" s="1" t="str">
        <f>IF(B243="","",IF('Resumen financiero'!$Q$4="Todas",SUMIFS('Cálculos'!$L$9:$L$128,'Cálculos'!$F$9:$F$128,B243,'Cálculos'!$C$9:$C$128,"&gt;="&amp;$C$4,'Cálculos'!$C$9:$C$128,"&lt;"&amp;$D$4),SUMIFS('Cálculos'!$L$9:$L$128,'Cálculos'!$F$9:$F$128,B243,'Cálculos'!$C$9:$C$128,"&gt;="&amp;$C$4,'Cálculos'!$C$9:$C$128,"&lt;"&amp;$D$4,'Cálculos'!$N$9:$N$128,'Resumen financiero'!$Q$4)))</f>
        <v/>
      </c>
      <c r="D243" s="1" t="str">
        <f t="shared" si="7"/>
        <v/>
      </c>
      <c r="E243" s="1" t="str">
        <f>IFERROR(__xludf.DUMMYFUNCTION("IFERROR(INDEX(UNIQUE(FILTER('Configuración'!$D$15:$D$134,'Configuración'!$B$15:$B$134=""Gastos"")),93),"""")"),"")</f>
        <v/>
      </c>
      <c r="F243" s="1" t="str">
        <f t="shared" si="8"/>
        <v/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ht="24.75" customHeight="1">
      <c r="A244" s="1"/>
      <c r="B244" s="1" t="str">
        <f>IFERROR(__xludf.DUMMYFUNCTION("IFERROR(INDEX(UNIQUE(FILTER('Configuración'!$D$15:$D$134,'Configuración'!$B$15:$B$134=""Gastos"")),94),"""")"),"")</f>
        <v/>
      </c>
      <c r="C244" s="1" t="str">
        <f>IF(B244="","",IF('Resumen financiero'!$Q$4="Todas",SUMIFS('Cálculos'!$L$9:$L$128,'Cálculos'!$F$9:$F$128,B244,'Cálculos'!$C$9:$C$128,"&gt;="&amp;$C$4,'Cálculos'!$C$9:$C$128,"&lt;"&amp;$D$4),SUMIFS('Cálculos'!$L$9:$L$128,'Cálculos'!$F$9:$F$128,B244,'Cálculos'!$C$9:$C$128,"&gt;="&amp;$C$4,'Cálculos'!$C$9:$C$128,"&lt;"&amp;$D$4,'Cálculos'!$N$9:$N$128,'Resumen financiero'!$Q$4)))</f>
        <v/>
      </c>
      <c r="D244" s="1" t="str">
        <f t="shared" si="7"/>
        <v/>
      </c>
      <c r="E244" s="1" t="str">
        <f>IFERROR(__xludf.DUMMYFUNCTION("IFERROR(INDEX(UNIQUE(FILTER('Configuración'!$D$15:$D$134,'Configuración'!$B$15:$B$134=""Gastos"")),94),"""")"),"")</f>
        <v/>
      </c>
      <c r="F244" s="1" t="str">
        <f t="shared" si="8"/>
        <v/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ht="24.75" customHeight="1">
      <c r="A245" s="1"/>
      <c r="B245" s="1" t="str">
        <f>IFERROR(__xludf.DUMMYFUNCTION("IFERROR(INDEX(UNIQUE(FILTER('Configuración'!$D$15:$D$134,'Configuración'!$B$15:$B$134=""Gastos"")),95),"""")"),"")</f>
        <v/>
      </c>
      <c r="C245" s="1" t="str">
        <f>IF(B245="","",IF('Resumen financiero'!$Q$4="Todas",SUMIFS('Cálculos'!$L$9:$L$128,'Cálculos'!$F$9:$F$128,B245,'Cálculos'!$C$9:$C$128,"&gt;="&amp;$C$4,'Cálculos'!$C$9:$C$128,"&lt;"&amp;$D$4),SUMIFS('Cálculos'!$L$9:$L$128,'Cálculos'!$F$9:$F$128,B245,'Cálculos'!$C$9:$C$128,"&gt;="&amp;$C$4,'Cálculos'!$C$9:$C$128,"&lt;"&amp;$D$4,'Cálculos'!$N$9:$N$128,'Resumen financiero'!$Q$4)))</f>
        <v/>
      </c>
      <c r="D245" s="1" t="str">
        <f t="shared" si="7"/>
        <v/>
      </c>
      <c r="E245" s="1" t="str">
        <f>IFERROR(__xludf.DUMMYFUNCTION("IFERROR(INDEX(UNIQUE(FILTER('Configuración'!$D$15:$D$134,'Configuración'!$B$15:$B$134=""Gastos"")),95),"""")"),"")</f>
        <v/>
      </c>
      <c r="F245" s="1" t="str">
        <f t="shared" si="8"/>
        <v/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ht="24.75" customHeight="1">
      <c r="A246" s="1"/>
      <c r="B246" s="1" t="str">
        <f>IFERROR(__xludf.DUMMYFUNCTION("IFERROR(INDEX(UNIQUE(FILTER('Configuración'!$D$15:$D$134,'Configuración'!$B$15:$B$134=""Gastos"")),96),"""")"),"")</f>
        <v/>
      </c>
      <c r="C246" s="1" t="str">
        <f>IF(B246="","",IF('Resumen financiero'!$Q$4="Todas",SUMIFS('Cálculos'!$L$9:$L$128,'Cálculos'!$F$9:$F$128,B246,'Cálculos'!$C$9:$C$128,"&gt;="&amp;$C$4,'Cálculos'!$C$9:$C$128,"&lt;"&amp;$D$4),SUMIFS('Cálculos'!$L$9:$L$128,'Cálculos'!$F$9:$F$128,B246,'Cálculos'!$C$9:$C$128,"&gt;="&amp;$C$4,'Cálculos'!$C$9:$C$128,"&lt;"&amp;$D$4,'Cálculos'!$N$9:$N$128,'Resumen financiero'!$Q$4)))</f>
        <v/>
      </c>
      <c r="D246" s="1" t="str">
        <f t="shared" si="7"/>
        <v/>
      </c>
      <c r="E246" s="1" t="str">
        <f>IFERROR(__xludf.DUMMYFUNCTION("IFERROR(INDEX(UNIQUE(FILTER('Configuración'!$D$15:$D$134,'Configuración'!$B$15:$B$134=""Gastos"")),96),"""")"),"")</f>
        <v/>
      </c>
      <c r="F246" s="1" t="str">
        <f t="shared" si="8"/>
        <v/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ht="24.75" customHeight="1">
      <c r="A247" s="1"/>
      <c r="B247" s="1" t="str">
        <f>IFERROR(__xludf.DUMMYFUNCTION("IFERROR(INDEX(UNIQUE(FILTER('Configuración'!$D$15:$D$134,'Configuración'!$B$15:$B$134=""Gastos"")),97),"""")"),"")</f>
        <v/>
      </c>
      <c r="C247" s="1" t="str">
        <f>IF(B247="","",IF('Resumen financiero'!$Q$4="Todas",SUMIFS('Cálculos'!$L$9:$L$128,'Cálculos'!$F$9:$F$128,B247,'Cálculos'!$C$9:$C$128,"&gt;="&amp;$C$4,'Cálculos'!$C$9:$C$128,"&lt;"&amp;$D$4),SUMIFS('Cálculos'!$L$9:$L$128,'Cálculos'!$F$9:$F$128,B247,'Cálculos'!$C$9:$C$128,"&gt;="&amp;$C$4,'Cálculos'!$C$9:$C$128,"&lt;"&amp;$D$4,'Cálculos'!$N$9:$N$128,'Resumen financiero'!$Q$4)))</f>
        <v/>
      </c>
      <c r="D247" s="1" t="str">
        <f t="shared" si="7"/>
        <v/>
      </c>
      <c r="E247" s="1" t="str">
        <f>IFERROR(__xludf.DUMMYFUNCTION("IFERROR(INDEX(UNIQUE(FILTER('Configuración'!$D$15:$D$134,'Configuración'!$B$15:$B$134=""Gastos"")),97),"""")"),"")</f>
        <v/>
      </c>
      <c r="F247" s="1" t="str">
        <f t="shared" si="8"/>
        <v/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ht="24.75" customHeight="1">
      <c r="A248" s="1"/>
      <c r="B248" s="1" t="str">
        <f>IFERROR(__xludf.DUMMYFUNCTION("IFERROR(INDEX(UNIQUE(FILTER('Configuración'!$D$15:$D$134,'Configuración'!$B$15:$B$134=""Gastos"")),98),"""")"),"")</f>
        <v/>
      </c>
      <c r="C248" s="1" t="str">
        <f>IF(B248="","",IF('Resumen financiero'!$Q$4="Todas",SUMIFS('Cálculos'!$L$9:$L$128,'Cálculos'!$F$9:$F$128,B248,'Cálculos'!$C$9:$C$128,"&gt;="&amp;$C$4,'Cálculos'!$C$9:$C$128,"&lt;"&amp;$D$4),SUMIFS('Cálculos'!$L$9:$L$128,'Cálculos'!$F$9:$F$128,B248,'Cálculos'!$C$9:$C$128,"&gt;="&amp;$C$4,'Cálculos'!$C$9:$C$128,"&lt;"&amp;$D$4,'Cálculos'!$N$9:$N$128,'Resumen financiero'!$Q$4)))</f>
        <v/>
      </c>
      <c r="D248" s="1" t="str">
        <f t="shared" si="7"/>
        <v/>
      </c>
      <c r="E248" s="1" t="str">
        <f>IFERROR(__xludf.DUMMYFUNCTION("IFERROR(INDEX(UNIQUE(FILTER('Configuración'!$D$15:$D$134,'Configuración'!$B$15:$B$134=""Gastos"")),98),"""")"),"")</f>
        <v/>
      </c>
      <c r="F248" s="1" t="str">
        <f t="shared" si="8"/>
        <v/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ht="24.75" customHeight="1">
      <c r="A249" s="1"/>
      <c r="B249" s="1" t="str">
        <f>IFERROR(__xludf.DUMMYFUNCTION("IFERROR(INDEX(UNIQUE(FILTER('Configuración'!$D$15:$D$134,'Configuración'!$B$15:$B$134=""Gastos"")),99),"""")"),"")</f>
        <v/>
      </c>
      <c r="C249" s="1" t="str">
        <f>IF(B249="","",IF('Resumen financiero'!$Q$4="Todas",SUMIFS('Cálculos'!$L$9:$L$128,'Cálculos'!$F$9:$F$128,B249,'Cálculos'!$C$9:$C$128,"&gt;="&amp;$C$4,'Cálculos'!$C$9:$C$128,"&lt;"&amp;$D$4),SUMIFS('Cálculos'!$L$9:$L$128,'Cálculos'!$F$9:$F$128,B249,'Cálculos'!$C$9:$C$128,"&gt;="&amp;$C$4,'Cálculos'!$C$9:$C$128,"&lt;"&amp;$D$4,'Cálculos'!$N$9:$N$128,'Resumen financiero'!$Q$4)))</f>
        <v/>
      </c>
      <c r="D249" s="1" t="str">
        <f t="shared" si="7"/>
        <v/>
      </c>
      <c r="E249" s="1" t="str">
        <f>IFERROR(__xludf.DUMMYFUNCTION("IFERROR(INDEX(UNIQUE(FILTER('Configuración'!$D$15:$D$134,'Configuración'!$B$15:$B$134=""Gastos"")),99),"""")"),"")</f>
        <v/>
      </c>
      <c r="F249" s="1" t="str">
        <f t="shared" si="8"/>
        <v/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ht="24.75" customHeight="1">
      <c r="A250" s="1"/>
      <c r="B250" s="1" t="str">
        <f>IFERROR(__xludf.DUMMYFUNCTION("IFERROR(INDEX(UNIQUE(FILTER('Configuración'!$D$15:$D$134,'Configuración'!$B$15:$B$134=""Gastos"")),100),"""")"),"")</f>
        <v/>
      </c>
      <c r="C250" s="1" t="str">
        <f>IF(B250="","",IF('Resumen financiero'!$Q$4="Todas",SUMIFS('Cálculos'!$L$9:$L$128,'Cálculos'!$F$9:$F$128,B250,'Cálculos'!$C$9:$C$128,"&gt;="&amp;$C$4,'Cálculos'!$C$9:$C$128,"&lt;"&amp;$D$4),SUMIFS('Cálculos'!$L$9:$L$128,'Cálculos'!$F$9:$F$128,B250,'Cálculos'!$C$9:$C$128,"&gt;="&amp;$C$4,'Cálculos'!$C$9:$C$128,"&lt;"&amp;$D$4,'Cálculos'!$N$9:$N$128,'Resumen financiero'!$Q$4)))</f>
        <v/>
      </c>
      <c r="D250" s="1" t="str">
        <f t="shared" si="7"/>
        <v/>
      </c>
      <c r="E250" s="1" t="str">
        <f>IFERROR(__xludf.DUMMYFUNCTION("IFERROR(INDEX(UNIQUE(FILTER('Configuración'!$D$15:$D$134,'Configuración'!$B$15:$B$134=""Gastos"")),100),"""")"),"")</f>
        <v/>
      </c>
      <c r="F250" s="1" t="str">
        <f t="shared" si="8"/>
        <v/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ht="24.75" customHeight="1">
      <c r="A251" s="1"/>
      <c r="B251" s="1" t="str">
        <f>IFERROR(__xludf.DUMMYFUNCTION("IFERROR(INDEX(UNIQUE(FILTER('Configuración'!$D$15:$D$134,'Configuración'!$B$15:$B$134=""Gastos"")),101),"""")"),"")</f>
        <v/>
      </c>
      <c r="C251" s="1" t="str">
        <f>IF(B251="","",IF('Resumen financiero'!$Q$4="Todas",SUMIFS('Cálculos'!$L$9:$L$128,'Cálculos'!$F$9:$F$128,B251,'Cálculos'!$C$9:$C$128,"&gt;="&amp;$C$4,'Cálculos'!$C$9:$C$128,"&lt;"&amp;$D$4),SUMIFS('Cálculos'!$L$9:$L$128,'Cálculos'!$F$9:$F$128,B251,'Cálculos'!$C$9:$C$128,"&gt;="&amp;$C$4,'Cálculos'!$C$9:$C$128,"&lt;"&amp;$D$4,'Cálculos'!$N$9:$N$128,'Resumen financiero'!$Q$4)))</f>
        <v/>
      </c>
      <c r="D251" s="1" t="str">
        <f t="shared" si="7"/>
        <v/>
      </c>
      <c r="E251" s="1" t="str">
        <f>IFERROR(__xludf.DUMMYFUNCTION("IFERROR(INDEX(UNIQUE(FILTER('Configuración'!$D$15:$D$134,'Configuración'!$B$15:$B$134=""Gastos"")),101),"""")"),"")</f>
        <v/>
      </c>
      <c r="F251" s="1" t="str">
        <f t="shared" si="8"/>
        <v/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ht="24.75" customHeight="1">
      <c r="A252" s="1"/>
      <c r="B252" s="1" t="str">
        <f>IFERROR(__xludf.DUMMYFUNCTION("IFERROR(INDEX(UNIQUE(FILTER('Configuración'!$D$15:$D$134,'Configuración'!$B$15:$B$134=""Gastos"")),102),"""")"),"")</f>
        <v/>
      </c>
      <c r="C252" s="1" t="str">
        <f>IF(B252="","",IF('Resumen financiero'!$Q$4="Todas",SUMIFS('Cálculos'!$L$9:$L$128,'Cálculos'!$F$9:$F$128,B252,'Cálculos'!$C$9:$C$128,"&gt;="&amp;$C$4,'Cálculos'!$C$9:$C$128,"&lt;"&amp;$D$4),SUMIFS('Cálculos'!$L$9:$L$128,'Cálculos'!$F$9:$F$128,B252,'Cálculos'!$C$9:$C$128,"&gt;="&amp;$C$4,'Cálculos'!$C$9:$C$128,"&lt;"&amp;$D$4,'Cálculos'!$N$9:$N$128,'Resumen financiero'!$Q$4)))</f>
        <v/>
      </c>
      <c r="D252" s="1" t="str">
        <f t="shared" si="7"/>
        <v/>
      </c>
      <c r="E252" s="1" t="str">
        <f>IFERROR(__xludf.DUMMYFUNCTION("IFERROR(INDEX(UNIQUE(FILTER('Configuración'!$D$15:$D$134,'Configuración'!$B$15:$B$134=""Gastos"")),102),"""")"),"")</f>
        <v/>
      </c>
      <c r="F252" s="1" t="str">
        <f t="shared" si="8"/>
        <v/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ht="24.75" customHeight="1">
      <c r="A253" s="1"/>
      <c r="B253" s="1" t="str">
        <f>IFERROR(__xludf.DUMMYFUNCTION("IFERROR(INDEX(UNIQUE(FILTER('Configuración'!$D$15:$D$134,'Configuración'!$B$15:$B$134=""Gastos"")),103),"""")"),"")</f>
        <v/>
      </c>
      <c r="C253" s="1" t="str">
        <f>IF(B253="","",IF('Resumen financiero'!$Q$4="Todas",SUMIFS('Cálculos'!$L$9:$L$128,'Cálculos'!$F$9:$F$128,B253,'Cálculos'!$C$9:$C$128,"&gt;="&amp;$C$4,'Cálculos'!$C$9:$C$128,"&lt;"&amp;$D$4),SUMIFS('Cálculos'!$L$9:$L$128,'Cálculos'!$F$9:$F$128,B253,'Cálculos'!$C$9:$C$128,"&gt;="&amp;$C$4,'Cálculos'!$C$9:$C$128,"&lt;"&amp;$D$4,'Cálculos'!$N$9:$N$128,'Resumen financiero'!$Q$4)))</f>
        <v/>
      </c>
      <c r="D253" s="1" t="str">
        <f t="shared" si="7"/>
        <v/>
      </c>
      <c r="E253" s="1" t="str">
        <f>IFERROR(__xludf.DUMMYFUNCTION("IFERROR(INDEX(UNIQUE(FILTER('Configuración'!$D$15:$D$134,'Configuración'!$B$15:$B$134=""Gastos"")),103),"""")"),"")</f>
        <v/>
      </c>
      <c r="F253" s="1" t="str">
        <f t="shared" si="8"/>
        <v/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ht="24.75" customHeight="1">
      <c r="A254" s="1"/>
      <c r="B254" s="1" t="str">
        <f>IFERROR(__xludf.DUMMYFUNCTION("IFERROR(INDEX(UNIQUE(FILTER('Configuración'!$D$15:$D$134,'Configuración'!$B$15:$B$134=""Gastos"")),104),"""")"),"")</f>
        <v/>
      </c>
      <c r="C254" s="1" t="str">
        <f>IF(B254="","",IF('Resumen financiero'!$Q$4="Todas",SUMIFS('Cálculos'!$L$9:$L$128,'Cálculos'!$F$9:$F$128,B254,'Cálculos'!$C$9:$C$128,"&gt;="&amp;$C$4,'Cálculos'!$C$9:$C$128,"&lt;"&amp;$D$4),SUMIFS('Cálculos'!$L$9:$L$128,'Cálculos'!$F$9:$F$128,B254,'Cálculos'!$C$9:$C$128,"&gt;="&amp;$C$4,'Cálculos'!$C$9:$C$128,"&lt;"&amp;$D$4,'Cálculos'!$N$9:$N$128,'Resumen financiero'!$Q$4)))</f>
        <v/>
      </c>
      <c r="D254" s="1" t="str">
        <f t="shared" si="7"/>
        <v/>
      </c>
      <c r="E254" s="1" t="str">
        <f>IFERROR(__xludf.DUMMYFUNCTION("IFERROR(INDEX(UNIQUE(FILTER('Configuración'!$D$15:$D$134,'Configuración'!$B$15:$B$134=""Gastos"")),104),"""")"),"")</f>
        <v/>
      </c>
      <c r="F254" s="1" t="str">
        <f t="shared" si="8"/>
        <v/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ht="24.75" customHeight="1">
      <c r="A255" s="1"/>
      <c r="B255" s="1" t="str">
        <f>IFERROR(__xludf.DUMMYFUNCTION("IFERROR(INDEX(UNIQUE(FILTER('Configuración'!$D$15:$D$134,'Configuración'!$B$15:$B$134=""Gastos"")),105),"""")"),"")</f>
        <v/>
      </c>
      <c r="C255" s="1" t="str">
        <f>IF(B255="","",IF('Resumen financiero'!$Q$4="Todas",SUMIFS('Cálculos'!$L$9:$L$128,'Cálculos'!$F$9:$F$128,B255,'Cálculos'!$C$9:$C$128,"&gt;="&amp;$C$4,'Cálculos'!$C$9:$C$128,"&lt;"&amp;$D$4),SUMIFS('Cálculos'!$L$9:$L$128,'Cálculos'!$F$9:$F$128,B255,'Cálculos'!$C$9:$C$128,"&gt;="&amp;$C$4,'Cálculos'!$C$9:$C$128,"&lt;"&amp;$D$4,'Cálculos'!$N$9:$N$128,'Resumen financiero'!$Q$4)))</f>
        <v/>
      </c>
      <c r="D255" s="1" t="str">
        <f t="shared" si="7"/>
        <v/>
      </c>
      <c r="E255" s="1" t="str">
        <f>IFERROR(__xludf.DUMMYFUNCTION("IFERROR(INDEX(UNIQUE(FILTER('Configuración'!$D$15:$D$134,'Configuración'!$B$15:$B$134=""Gastos"")),105),"""")"),"")</f>
        <v/>
      </c>
      <c r="F255" s="1" t="str">
        <f t="shared" si="8"/>
        <v/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ht="24.75" customHeight="1">
      <c r="A256" s="1"/>
      <c r="B256" s="1" t="str">
        <f>IFERROR(__xludf.DUMMYFUNCTION("IFERROR(INDEX(UNIQUE(FILTER('Configuración'!$D$15:$D$134,'Configuración'!$B$15:$B$134=""Gastos"")),106),"""")"),"")</f>
        <v/>
      </c>
      <c r="C256" s="1" t="str">
        <f>IF(B256="","",IF('Resumen financiero'!$Q$4="Todas",SUMIFS('Cálculos'!$L$9:$L$128,'Cálculos'!$F$9:$F$128,B256,'Cálculos'!$C$9:$C$128,"&gt;="&amp;$C$4,'Cálculos'!$C$9:$C$128,"&lt;"&amp;$D$4),SUMIFS('Cálculos'!$L$9:$L$128,'Cálculos'!$F$9:$F$128,B256,'Cálculos'!$C$9:$C$128,"&gt;="&amp;$C$4,'Cálculos'!$C$9:$C$128,"&lt;"&amp;$D$4,'Cálculos'!$N$9:$N$128,'Resumen financiero'!$Q$4)))</f>
        <v/>
      </c>
      <c r="D256" s="1" t="str">
        <f t="shared" si="7"/>
        <v/>
      </c>
      <c r="E256" s="1" t="str">
        <f>IFERROR(__xludf.DUMMYFUNCTION("IFERROR(INDEX(UNIQUE(FILTER('Configuración'!$D$15:$D$134,'Configuración'!$B$15:$B$134=""Gastos"")),106),"""")"),"")</f>
        <v/>
      </c>
      <c r="F256" s="1" t="str">
        <f t="shared" si="8"/>
        <v/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ht="24.75" customHeight="1">
      <c r="A257" s="1"/>
      <c r="B257" s="1" t="str">
        <f>IFERROR(__xludf.DUMMYFUNCTION("IFERROR(INDEX(UNIQUE(FILTER('Configuración'!$D$15:$D$134,'Configuración'!$B$15:$B$134=""Gastos"")),107),"""")"),"")</f>
        <v/>
      </c>
      <c r="C257" s="1" t="str">
        <f>IF(B257="","",IF('Resumen financiero'!$Q$4="Todas",SUMIFS('Cálculos'!$L$9:$L$128,'Cálculos'!$F$9:$F$128,B257,'Cálculos'!$C$9:$C$128,"&gt;="&amp;$C$4,'Cálculos'!$C$9:$C$128,"&lt;"&amp;$D$4),SUMIFS('Cálculos'!$L$9:$L$128,'Cálculos'!$F$9:$F$128,B257,'Cálculos'!$C$9:$C$128,"&gt;="&amp;$C$4,'Cálculos'!$C$9:$C$128,"&lt;"&amp;$D$4,'Cálculos'!$N$9:$N$128,'Resumen financiero'!$Q$4)))</f>
        <v/>
      </c>
      <c r="D257" s="1" t="str">
        <f t="shared" si="7"/>
        <v/>
      </c>
      <c r="E257" s="1" t="str">
        <f>IFERROR(__xludf.DUMMYFUNCTION("IFERROR(INDEX(UNIQUE(FILTER('Configuración'!$D$15:$D$134,'Configuración'!$B$15:$B$134=""Gastos"")),107),"""")"),"")</f>
        <v/>
      </c>
      <c r="F257" s="1" t="str">
        <f t="shared" si="8"/>
        <v/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ht="24.75" customHeight="1">
      <c r="A258" s="1"/>
      <c r="B258" s="1" t="str">
        <f>IFERROR(__xludf.DUMMYFUNCTION("IFERROR(INDEX(UNIQUE(FILTER('Configuración'!$D$15:$D$134,'Configuración'!$B$15:$B$134=""Gastos"")),108),"""")"),"")</f>
        <v/>
      </c>
      <c r="C258" s="1" t="str">
        <f>IF(B258="","",IF('Resumen financiero'!$Q$4="Todas",SUMIFS('Cálculos'!$L$9:$L$128,'Cálculos'!$F$9:$F$128,B258,'Cálculos'!$C$9:$C$128,"&gt;="&amp;$C$4,'Cálculos'!$C$9:$C$128,"&lt;"&amp;$D$4),SUMIFS('Cálculos'!$L$9:$L$128,'Cálculos'!$F$9:$F$128,B258,'Cálculos'!$C$9:$C$128,"&gt;="&amp;$C$4,'Cálculos'!$C$9:$C$128,"&lt;"&amp;$D$4,'Cálculos'!$N$9:$N$128,'Resumen financiero'!$Q$4)))</f>
        <v/>
      </c>
      <c r="D258" s="1" t="str">
        <f t="shared" si="7"/>
        <v/>
      </c>
      <c r="E258" s="1" t="str">
        <f>IFERROR(__xludf.DUMMYFUNCTION("IFERROR(INDEX(UNIQUE(FILTER('Configuración'!$D$15:$D$134,'Configuración'!$B$15:$B$134=""Gastos"")),108),"""")"),"")</f>
        <v/>
      </c>
      <c r="F258" s="1" t="str">
        <f t="shared" si="8"/>
        <v/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ht="24.75" customHeight="1">
      <c r="A259" s="1"/>
      <c r="B259" s="1" t="str">
        <f>IFERROR(__xludf.DUMMYFUNCTION("IFERROR(INDEX(UNIQUE(FILTER('Configuración'!$D$15:$D$134,'Configuración'!$B$15:$B$134=""Gastos"")),109),"""")"),"")</f>
        <v/>
      </c>
      <c r="C259" s="1" t="str">
        <f>IF(B259="","",IF('Resumen financiero'!$Q$4="Todas",SUMIFS('Cálculos'!$L$9:$L$128,'Cálculos'!$F$9:$F$128,B259,'Cálculos'!$C$9:$C$128,"&gt;="&amp;$C$4,'Cálculos'!$C$9:$C$128,"&lt;"&amp;$D$4),SUMIFS('Cálculos'!$L$9:$L$128,'Cálculos'!$F$9:$F$128,B259,'Cálculos'!$C$9:$C$128,"&gt;="&amp;$C$4,'Cálculos'!$C$9:$C$128,"&lt;"&amp;$D$4,'Cálculos'!$N$9:$N$128,'Resumen financiero'!$Q$4)))</f>
        <v/>
      </c>
      <c r="D259" s="1" t="str">
        <f t="shared" si="7"/>
        <v/>
      </c>
      <c r="E259" s="1" t="str">
        <f>IFERROR(__xludf.DUMMYFUNCTION("IFERROR(INDEX(UNIQUE(FILTER('Configuración'!$D$15:$D$134,'Configuración'!$B$15:$B$134=""Gastos"")),109),"""")"),"")</f>
        <v/>
      </c>
      <c r="F259" s="1" t="str">
        <f t="shared" si="8"/>
        <v/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ht="24.75" customHeight="1">
      <c r="A260" s="1"/>
      <c r="B260" s="1" t="str">
        <f>IFERROR(__xludf.DUMMYFUNCTION("IFERROR(INDEX(UNIQUE(FILTER('Configuración'!$D$15:$D$134,'Configuración'!$B$15:$B$134=""Gastos"")),110),"""")"),"")</f>
        <v/>
      </c>
      <c r="C260" s="1" t="str">
        <f>IF(B260="","",IF('Resumen financiero'!$Q$4="Todas",SUMIFS('Cálculos'!$L$9:$L$128,'Cálculos'!$F$9:$F$128,B260,'Cálculos'!$C$9:$C$128,"&gt;="&amp;$C$4,'Cálculos'!$C$9:$C$128,"&lt;"&amp;$D$4),SUMIFS('Cálculos'!$L$9:$L$128,'Cálculos'!$F$9:$F$128,B260,'Cálculos'!$C$9:$C$128,"&gt;="&amp;$C$4,'Cálculos'!$C$9:$C$128,"&lt;"&amp;$D$4,'Cálculos'!$N$9:$N$128,'Resumen financiero'!$Q$4)))</f>
        <v/>
      </c>
      <c r="D260" s="1" t="str">
        <f t="shared" si="7"/>
        <v/>
      </c>
      <c r="E260" s="1" t="str">
        <f>IFERROR(__xludf.DUMMYFUNCTION("IFERROR(INDEX(UNIQUE(FILTER('Configuración'!$D$15:$D$134,'Configuración'!$B$15:$B$134=""Gastos"")),110),"""")"),"")</f>
        <v/>
      </c>
      <c r="F260" s="1" t="str">
        <f t="shared" si="8"/>
        <v/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ht="24.75" customHeight="1">
      <c r="A261" s="1"/>
      <c r="B261" s="1" t="str">
        <f>IFERROR(__xludf.DUMMYFUNCTION("IFERROR(INDEX(UNIQUE(FILTER('Configuración'!$D$15:$D$134,'Configuración'!$B$15:$B$134=""Gastos"")),111),"""")"),"")</f>
        <v/>
      </c>
      <c r="C261" s="1" t="str">
        <f>IF(B261="","",IF('Resumen financiero'!$Q$4="Todas",SUMIFS('Cálculos'!$L$9:$L$128,'Cálculos'!$F$9:$F$128,B261,'Cálculos'!$C$9:$C$128,"&gt;="&amp;$C$4,'Cálculos'!$C$9:$C$128,"&lt;"&amp;$D$4),SUMIFS('Cálculos'!$L$9:$L$128,'Cálculos'!$F$9:$F$128,B261,'Cálculos'!$C$9:$C$128,"&gt;="&amp;$C$4,'Cálculos'!$C$9:$C$128,"&lt;"&amp;$D$4,'Cálculos'!$N$9:$N$128,'Resumen financiero'!$Q$4)))</f>
        <v/>
      </c>
      <c r="D261" s="1" t="str">
        <f t="shared" si="7"/>
        <v/>
      </c>
      <c r="E261" s="1" t="str">
        <f>IFERROR(__xludf.DUMMYFUNCTION("IFERROR(INDEX(UNIQUE(FILTER('Configuración'!$D$15:$D$134,'Configuración'!$B$15:$B$134=""Gastos"")),111),"""")"),"")</f>
        <v/>
      </c>
      <c r="F261" s="1" t="str">
        <f t="shared" si="8"/>
        <v/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ht="24.75" customHeight="1">
      <c r="A262" s="1"/>
      <c r="B262" s="1" t="str">
        <f>IFERROR(__xludf.DUMMYFUNCTION("IFERROR(INDEX(UNIQUE(FILTER('Configuración'!$D$15:$D$134,'Configuración'!$B$15:$B$134=""Gastos"")),112),"""")"),"")</f>
        <v/>
      </c>
      <c r="C262" s="1" t="str">
        <f>IF(B262="","",IF('Resumen financiero'!$Q$4="Todas",SUMIFS('Cálculos'!$L$9:$L$128,'Cálculos'!$F$9:$F$128,B262,'Cálculos'!$C$9:$C$128,"&gt;="&amp;$C$4,'Cálculos'!$C$9:$C$128,"&lt;"&amp;$D$4),SUMIFS('Cálculos'!$L$9:$L$128,'Cálculos'!$F$9:$F$128,B262,'Cálculos'!$C$9:$C$128,"&gt;="&amp;$C$4,'Cálculos'!$C$9:$C$128,"&lt;"&amp;$D$4,'Cálculos'!$N$9:$N$128,'Resumen financiero'!$Q$4)))</f>
        <v/>
      </c>
      <c r="D262" s="1" t="str">
        <f t="shared" si="7"/>
        <v/>
      </c>
      <c r="E262" s="1" t="str">
        <f>IFERROR(__xludf.DUMMYFUNCTION("IFERROR(INDEX(UNIQUE(FILTER('Configuración'!$D$15:$D$134,'Configuración'!$B$15:$B$134=""Gastos"")),112),"""")"),"")</f>
        <v/>
      </c>
      <c r="F262" s="1" t="str">
        <f t="shared" si="8"/>
        <v/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ht="24.75" customHeight="1">
      <c r="A263" s="1"/>
      <c r="B263" s="1" t="str">
        <f>IFERROR(__xludf.DUMMYFUNCTION("IFERROR(INDEX(UNIQUE(FILTER('Configuración'!$D$15:$D$134,'Configuración'!$B$15:$B$134=""Gastos"")),113),"""")"),"")</f>
        <v/>
      </c>
      <c r="C263" s="1" t="str">
        <f>IF(B263="","",IF('Resumen financiero'!$Q$4="Todas",SUMIFS('Cálculos'!$L$9:$L$128,'Cálculos'!$F$9:$F$128,B263,'Cálculos'!$C$9:$C$128,"&gt;="&amp;$C$4,'Cálculos'!$C$9:$C$128,"&lt;"&amp;$D$4),SUMIFS('Cálculos'!$L$9:$L$128,'Cálculos'!$F$9:$F$128,B263,'Cálculos'!$C$9:$C$128,"&gt;="&amp;$C$4,'Cálculos'!$C$9:$C$128,"&lt;"&amp;$D$4,'Cálculos'!$N$9:$N$128,'Resumen financiero'!$Q$4)))</f>
        <v/>
      </c>
      <c r="D263" s="1" t="str">
        <f t="shared" si="7"/>
        <v/>
      </c>
      <c r="E263" s="1" t="str">
        <f>IFERROR(__xludf.DUMMYFUNCTION("IFERROR(INDEX(UNIQUE(FILTER('Configuración'!$D$15:$D$134,'Configuración'!$B$15:$B$134=""Gastos"")),113),"""")"),"")</f>
        <v/>
      </c>
      <c r="F263" s="1" t="str">
        <f t="shared" si="8"/>
        <v/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ht="24.75" customHeight="1">
      <c r="A264" s="1"/>
      <c r="B264" s="1" t="str">
        <f>IFERROR(__xludf.DUMMYFUNCTION("IFERROR(INDEX(UNIQUE(FILTER('Configuración'!$D$15:$D$134,'Configuración'!$B$15:$B$134=""Gastos"")),114),"""")"),"")</f>
        <v/>
      </c>
      <c r="C264" s="1" t="str">
        <f>IF(B264="","",IF('Resumen financiero'!$Q$4="Todas",SUMIFS('Cálculos'!$L$9:$L$128,'Cálculos'!$F$9:$F$128,B264,'Cálculos'!$C$9:$C$128,"&gt;="&amp;$C$4,'Cálculos'!$C$9:$C$128,"&lt;"&amp;$D$4),SUMIFS('Cálculos'!$L$9:$L$128,'Cálculos'!$F$9:$F$128,B264,'Cálculos'!$C$9:$C$128,"&gt;="&amp;$C$4,'Cálculos'!$C$9:$C$128,"&lt;"&amp;$D$4,'Cálculos'!$N$9:$N$128,'Resumen financiero'!$Q$4)))</f>
        <v/>
      </c>
      <c r="D264" s="1" t="str">
        <f t="shared" si="7"/>
        <v/>
      </c>
      <c r="E264" s="1" t="str">
        <f>IFERROR(__xludf.DUMMYFUNCTION("IFERROR(INDEX(UNIQUE(FILTER('Configuración'!$D$15:$D$134,'Configuración'!$B$15:$B$134=""Gastos"")),114),"""")"),"")</f>
        <v/>
      </c>
      <c r="F264" s="1" t="str">
        <f t="shared" si="8"/>
        <v/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ht="24.75" customHeight="1">
      <c r="A265" s="1"/>
      <c r="B265" s="1" t="str">
        <f>IFERROR(__xludf.DUMMYFUNCTION("IFERROR(INDEX(UNIQUE(FILTER('Configuración'!$D$15:$D$134,'Configuración'!$B$15:$B$134=""Gastos"")),115),"""")"),"")</f>
        <v/>
      </c>
      <c r="C265" s="1" t="str">
        <f>IF(B265="","",IF('Resumen financiero'!$Q$4="Todas",SUMIFS('Cálculos'!$L$9:$L$128,'Cálculos'!$F$9:$F$128,B265,'Cálculos'!$C$9:$C$128,"&gt;="&amp;$C$4,'Cálculos'!$C$9:$C$128,"&lt;"&amp;$D$4),SUMIFS('Cálculos'!$L$9:$L$128,'Cálculos'!$F$9:$F$128,B265,'Cálculos'!$C$9:$C$128,"&gt;="&amp;$C$4,'Cálculos'!$C$9:$C$128,"&lt;"&amp;$D$4,'Cálculos'!$N$9:$N$128,'Resumen financiero'!$Q$4)))</f>
        <v/>
      </c>
      <c r="D265" s="1" t="str">
        <f t="shared" si="7"/>
        <v/>
      </c>
      <c r="E265" s="1" t="str">
        <f>IFERROR(__xludf.DUMMYFUNCTION("IFERROR(INDEX(UNIQUE(FILTER('Configuración'!$D$15:$D$134,'Configuración'!$B$15:$B$134=""Gastos"")),115),"""")"),"")</f>
        <v/>
      </c>
      <c r="F265" s="1" t="str">
        <f t="shared" si="8"/>
        <v/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ht="24.75" customHeight="1">
      <c r="A266" s="1"/>
      <c r="B266" s="1" t="str">
        <f>IFERROR(__xludf.DUMMYFUNCTION("IFERROR(INDEX(UNIQUE(FILTER('Configuración'!$D$15:$D$134,'Configuración'!$B$15:$B$134=""Gastos"")),116),"""")"),"")</f>
        <v/>
      </c>
      <c r="C266" s="1" t="str">
        <f>IF(B266="","",IF('Resumen financiero'!$Q$4="Todas",SUMIFS('Cálculos'!$L$9:$L$128,'Cálculos'!$F$9:$F$128,B266,'Cálculos'!$C$9:$C$128,"&gt;="&amp;$C$4,'Cálculos'!$C$9:$C$128,"&lt;"&amp;$D$4),SUMIFS('Cálculos'!$L$9:$L$128,'Cálculos'!$F$9:$F$128,B266,'Cálculos'!$C$9:$C$128,"&gt;="&amp;$C$4,'Cálculos'!$C$9:$C$128,"&lt;"&amp;$D$4,'Cálculos'!$N$9:$N$128,'Resumen financiero'!$Q$4)))</f>
        <v/>
      </c>
      <c r="D266" s="1" t="str">
        <f t="shared" si="7"/>
        <v/>
      </c>
      <c r="E266" s="1" t="str">
        <f>IFERROR(__xludf.DUMMYFUNCTION("IFERROR(INDEX(UNIQUE(FILTER('Configuración'!$D$15:$D$134,'Configuración'!$B$15:$B$134=""Gastos"")),116),"""")"),"")</f>
        <v/>
      </c>
      <c r="F266" s="1" t="str">
        <f t="shared" si="8"/>
        <v/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ht="24.75" customHeight="1">
      <c r="A267" s="1"/>
      <c r="B267" s="1" t="str">
        <f>IFERROR(__xludf.DUMMYFUNCTION("IFERROR(INDEX(UNIQUE(FILTER('Configuración'!$D$15:$D$134,'Configuración'!$B$15:$B$134=""Gastos"")),117),"""")"),"")</f>
        <v/>
      </c>
      <c r="C267" s="1" t="str">
        <f>IF(B267="","",IF('Resumen financiero'!$Q$4="Todas",SUMIFS('Cálculos'!$L$9:$L$128,'Cálculos'!$F$9:$F$128,B267,'Cálculos'!$C$9:$C$128,"&gt;="&amp;$C$4,'Cálculos'!$C$9:$C$128,"&lt;"&amp;$D$4),SUMIFS('Cálculos'!$L$9:$L$128,'Cálculos'!$F$9:$F$128,B267,'Cálculos'!$C$9:$C$128,"&gt;="&amp;$C$4,'Cálculos'!$C$9:$C$128,"&lt;"&amp;$D$4,'Cálculos'!$N$9:$N$128,'Resumen financiero'!$Q$4)))</f>
        <v/>
      </c>
      <c r="D267" s="1" t="str">
        <f t="shared" si="7"/>
        <v/>
      </c>
      <c r="E267" s="1" t="str">
        <f>IFERROR(__xludf.DUMMYFUNCTION("IFERROR(INDEX(UNIQUE(FILTER('Configuración'!$D$15:$D$134,'Configuración'!$B$15:$B$134=""Gastos"")),117),"""")"),"")</f>
        <v/>
      </c>
      <c r="F267" s="1" t="str">
        <f t="shared" si="8"/>
        <v/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ht="24.75" customHeight="1">
      <c r="A268" s="1"/>
      <c r="B268" s="1" t="str">
        <f>IFERROR(__xludf.DUMMYFUNCTION("IFERROR(INDEX(UNIQUE(FILTER('Configuración'!$D$15:$D$134,'Configuración'!$B$15:$B$134=""Gastos"")),118),"""")"),"")</f>
        <v/>
      </c>
      <c r="C268" s="1" t="str">
        <f>IF(B268="","",IF('Resumen financiero'!$Q$4="Todas",SUMIFS('Cálculos'!$L$9:$L$128,'Cálculos'!$F$9:$F$128,B268,'Cálculos'!$C$9:$C$128,"&gt;="&amp;$C$4,'Cálculos'!$C$9:$C$128,"&lt;"&amp;$D$4),SUMIFS('Cálculos'!$L$9:$L$128,'Cálculos'!$F$9:$F$128,B268,'Cálculos'!$C$9:$C$128,"&gt;="&amp;$C$4,'Cálculos'!$C$9:$C$128,"&lt;"&amp;$D$4,'Cálculos'!$N$9:$N$128,'Resumen financiero'!$Q$4)))</f>
        <v/>
      </c>
      <c r="D268" s="1" t="str">
        <f t="shared" si="7"/>
        <v/>
      </c>
      <c r="E268" s="1" t="str">
        <f>IFERROR(__xludf.DUMMYFUNCTION("IFERROR(INDEX(UNIQUE(FILTER('Configuración'!$D$15:$D$134,'Configuración'!$B$15:$B$134=""Gastos"")),118),"""")"),"")</f>
        <v/>
      </c>
      <c r="F268" s="1" t="str">
        <f t="shared" si="8"/>
        <v/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ht="24.75" customHeight="1">
      <c r="A269" s="1"/>
      <c r="B269" s="1" t="str">
        <f>IFERROR(__xludf.DUMMYFUNCTION("IFERROR(INDEX(UNIQUE(FILTER('Configuración'!$D$15:$D$134,'Configuración'!$B$15:$B$134=""Gastos"")),119),"""")"),"")</f>
        <v/>
      </c>
      <c r="C269" s="1" t="str">
        <f>IF(B269="","",IF('Resumen financiero'!$Q$4="Todas",SUMIFS('Cálculos'!$L$9:$L$128,'Cálculos'!$F$9:$F$128,B269,'Cálculos'!$C$9:$C$128,"&gt;="&amp;$C$4,'Cálculos'!$C$9:$C$128,"&lt;"&amp;$D$4),SUMIFS('Cálculos'!$L$9:$L$128,'Cálculos'!$F$9:$F$128,B269,'Cálculos'!$C$9:$C$128,"&gt;="&amp;$C$4,'Cálculos'!$C$9:$C$128,"&lt;"&amp;$D$4,'Cálculos'!$N$9:$N$128,'Resumen financiero'!$Q$4)))</f>
        <v/>
      </c>
      <c r="D269" s="1" t="str">
        <f t="shared" si="7"/>
        <v/>
      </c>
      <c r="E269" s="1" t="str">
        <f>IFERROR(__xludf.DUMMYFUNCTION("IFERROR(INDEX(UNIQUE(FILTER('Configuración'!$D$15:$D$134,'Configuración'!$B$15:$B$134=""Gastos"")),119),"""")"),"")</f>
        <v/>
      </c>
      <c r="F269" s="1" t="str">
        <f t="shared" si="8"/>
        <v/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ht="24.75" customHeight="1">
      <c r="A270" s="1"/>
      <c r="B270" s="1" t="str">
        <f>IFERROR(__xludf.DUMMYFUNCTION("IFERROR(INDEX(UNIQUE(FILTER('Configuración'!$D$15:$D$134,'Configuración'!$B$15:$B$134=""Gastos"")),120),"""")"),"")</f>
        <v/>
      </c>
      <c r="C270" s="1" t="str">
        <f>IF(B270="","",IF('Resumen financiero'!$Q$4="Todas",SUMIFS('Cálculos'!$L$9:$L$128,'Cálculos'!$F$9:$F$128,B270,'Cálculos'!$C$9:$C$128,"&gt;="&amp;$C$4,'Cálculos'!$C$9:$C$128,"&lt;"&amp;$D$4),SUMIFS('Cálculos'!$L$9:$L$128,'Cálculos'!$F$9:$F$128,B270,'Cálculos'!$C$9:$C$128,"&gt;="&amp;$C$4,'Cálculos'!$C$9:$C$128,"&lt;"&amp;$D$4,'Cálculos'!$N$9:$N$128,'Resumen financiero'!$Q$4)))</f>
        <v/>
      </c>
      <c r="D270" s="1" t="str">
        <f t="shared" si="7"/>
        <v/>
      </c>
      <c r="E270" s="1" t="str">
        <f>IFERROR(__xludf.DUMMYFUNCTION("IFERROR(INDEX(UNIQUE(FILTER('Configuración'!$D$15:$D$134,'Configuración'!$B$15:$B$134=""Gastos"")),120),"""")"),"")</f>
        <v/>
      </c>
      <c r="F270" s="1" t="str">
        <f t="shared" si="8"/>
        <v/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ht="24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ht="24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ht="24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ht="24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ht="24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ht="24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ht="24.75" customHeight="1">
      <c r="A277" s="1"/>
      <c r="B277" s="1" t="s">
        <v>41</v>
      </c>
      <c r="C277" s="1" t="s">
        <v>32</v>
      </c>
      <c r="D277" s="1" t="s">
        <v>173</v>
      </c>
      <c r="E277" s="1" t="s">
        <v>174</v>
      </c>
      <c r="F277" s="1" t="s">
        <v>46</v>
      </c>
      <c r="G277" s="1" t="s">
        <v>47</v>
      </c>
      <c r="H277" s="1" t="s">
        <v>143</v>
      </c>
      <c r="I277" s="1" t="s">
        <v>175</v>
      </c>
      <c r="J277" s="1" t="s">
        <v>48</v>
      </c>
      <c r="K277" s="1" t="s">
        <v>176</v>
      </c>
      <c r="L277" s="1"/>
      <c r="M277" s="1"/>
      <c r="N277" s="1"/>
      <c r="O277" s="1"/>
      <c r="P277" s="1"/>
      <c r="Q277" s="1"/>
      <c r="R277" s="1"/>
    </row>
    <row r="278" ht="24.75" customHeight="1">
      <c r="A278" s="1"/>
      <c r="B278" s="65">
        <f>IF(EDATE(DATE(YEAR(IF(COUNT(Inversiones!$F$30:$F$149)=0,'Configuración'!$C$8,MIN(Inversiones!$F$30:$F$149))),MONTH(IF(COUNT(Inversiones!$F$30:$F$149)=0,'Configuración'!$C$8,MIN(Inversiones!$F$30:$F$149))),1),INT(0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(0/MAX(1,COUNTA(Inversiones!$B$30:$B$149)))))</f>
        <v>46023</v>
      </c>
      <c r="C278" s="1" t="str">
        <f>IFERROR(__xludf.DUMMYFUNCTION("IF(B278="""","""",IFERROR(INDEX(FILTER(Inversiones!$B$30:$B$149,Inversiones!$B$30:$B$149&lt;&gt;""""),MOD(0,MAX(1,COUNTA(Inversiones!$B$30:$B$149)))+1),""""))"),"")</f>
        <v/>
      </c>
      <c r="D278" s="1" t="str">
        <f>IF(C278="","",MIN(EOMONTH(B278,0),'Configuración'!$C$8))</f>
        <v/>
      </c>
      <c r="E278" s="1">
        <f t="array" ref="E278">IF(C278="",0,IF(D278&lt;INDEX(Inversiones!$F$30:$F$149,MATCH(C278,Inversiones!$B$30:$B$149,0)),0,1))</f>
        <v>0</v>
      </c>
      <c r="F278" s="66" t="str">
        <f t="array" ref="F278">IF(E278=0,"",INDEX(Inversiones!$G$30:$G$149,MATCH(C278,Inversiones!$B$30:$B$149,0))+SUMIFS(Inversiones!$F$156:$F$285,Inversiones!$D$156:$D$285,C278,Inversiones!$C$156:$C$285,"&gt;="&amp;INDEX(Inversiones!$F$30:$F$149,MATCH(C278,Inversiones!$B$30:$B$149,0)),Inversiones!$C$156:$C$285,"&lt;="&amp;D278,Inversiones!$E$156:$E$285,"Compra")-SUMIFS(Inversiones!$F$156:$F$285,Inversiones!$D$156:$D$285,C278,Inversiones!$C$156:$C$285,"&gt;="&amp;INDEX(Inversiones!$F$30:$F$149,MATCH(C278,Inversiones!$B$30:$B$149,0)),Inversiones!$C$156:$C$285,"&lt;="&amp;D278,Inversiones!$E$156:$E$285,"Venta"))</f>
        <v/>
      </c>
      <c r="G278" s="39" t="str">
        <f t="array" ref="G278">IF(E278=0,"",INDEX(Inversiones!$H$30:$H$149,MATCH(C278,Inversiones!$B$30:$B$149,0))+SUMIFS(Inversiones!$J$156:$J$285,Inversiones!$D$156:$D$285,C278,Inversiones!$C$156:$C$285,"&gt;="&amp;INDEX(Inversiones!$F$30:$F$149,MATCH(C278,Inversiones!$B$30:$B$149,0)),Inversiones!$C$156:$C$285,"&lt;="&amp;D278,Inversiones!$E$156:$E$285,"Compra")-SUMIFS(Inversiones!$J$156:$J$285,Inversiones!$D$156:$D$285,C278,Inversiones!$C$156:$C$285,"&gt;="&amp;INDEX(Inversiones!$F$30:$F$149,MATCH(C278,Inversiones!$B$30:$B$149,0)),Inversiones!$C$156:$C$285,"&lt;="&amp;D278,Inversiones!$E$156:$E$285,"Venta"))</f>
        <v/>
      </c>
      <c r="H278" s="1" t="str">
        <f>IF(E278=0,"",MAXIFS(Inversiones!$C$292:$C$921,Inversiones!$B$292:$B$921,C278,Inversiones!$C$292:$C$921,"&lt;="&amp;D278))</f>
        <v/>
      </c>
      <c r="I278" s="1" t="str">
        <f>IF(OR(E278=0,H278=0),"",SUMIFS(Inversiones!$D$292:$D$921,Inversiones!$B$292:$B$921,C278,Inversiones!$C$292:$C$921,H278))</f>
        <v/>
      </c>
      <c r="J278" s="1" t="str">
        <f t="shared" ref="J278:J334" si="9">IF(E278=0,"",IF(F278=0,0,IF(COUNT(I278)=0,"",F278*I278)))</f>
        <v/>
      </c>
      <c r="K278" s="1">
        <f t="shared" ref="K278:K334" si="10">IF(COUNT(J278)=0,0,1)</f>
        <v>0</v>
      </c>
      <c r="L278" s="1"/>
      <c r="M278" s="1"/>
      <c r="N278" s="1"/>
      <c r="O278" s="1"/>
      <c r="P278" s="1"/>
      <c r="Q278" s="1"/>
      <c r="R278" s="1"/>
    </row>
    <row r="279" ht="24.75" customHeight="1">
      <c r="A279" s="1"/>
      <c r="B279" s="1" t="str">
        <f>IF(EDATE(DATE(YEAR(IF(COUNT(Inversiones!$F$30:$F$149)=0,'Configuración'!$C$8,MIN(Inversiones!$F$30:$F$149))),MONTH(IF(COUNT(Inversiones!$F$30:$F$149)=0,'Configuración'!$C$8,MIN(Inversiones!$F$30:$F$149))),1),INT(1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(1/MAX(1,COUNTA(Inversiones!$B$30:$B$149)))))</f>
        <v/>
      </c>
      <c r="C279" s="1" t="str">
        <f>IFERROR(__xludf.DUMMYFUNCTION("IF(B279="""","""",IFERROR(INDEX(FILTER(Inversiones!$B$30:$B$149,Inversiones!$B$30:$B$149&lt;&gt;""""),MOD(1,MAX(1,COUNTA(Inversiones!$B$30:$B$149)))+1),""""))"),"")</f>
        <v/>
      </c>
      <c r="D279" s="1" t="str">
        <f>IF(C279="","",MIN(EOMONTH(B279,0),'Configuración'!$C$8))</f>
        <v/>
      </c>
      <c r="E279" s="1">
        <f t="array" ref="E279">IF(C279="",0,IF(D279&lt;INDEX(Inversiones!$F$30:$F$149,MATCH(C279,Inversiones!$B$30:$B$149,0)),0,1))</f>
        <v>0</v>
      </c>
      <c r="F279" s="1" t="str">
        <f t="array" ref="F279">IF(E279=0,"",INDEX(Inversiones!$G$30:$G$149,MATCH(C279,Inversiones!$B$30:$B$149,0))+SUMIFS(Inversiones!$F$156:$F$285,Inversiones!$D$156:$D$285,C279,Inversiones!$C$156:$C$285,"&gt;="&amp;INDEX(Inversiones!$F$30:$F$149,MATCH(C279,Inversiones!$B$30:$B$149,0)),Inversiones!$C$156:$C$285,"&lt;="&amp;D279,Inversiones!$E$156:$E$285,"Compra")-SUMIFS(Inversiones!$F$156:$F$285,Inversiones!$D$156:$D$285,C279,Inversiones!$C$156:$C$285,"&gt;="&amp;INDEX(Inversiones!$F$30:$F$149,MATCH(C279,Inversiones!$B$30:$B$149,0)),Inversiones!$C$156:$C$285,"&lt;="&amp;D279,Inversiones!$E$156:$E$285,"Venta"))</f>
        <v/>
      </c>
      <c r="G279" s="1" t="str">
        <f t="array" ref="G279">IF(E279=0,"",INDEX(Inversiones!$H$30:$H$149,MATCH(C279,Inversiones!$B$30:$B$149,0))+SUMIFS(Inversiones!$J$156:$J$285,Inversiones!$D$156:$D$285,C279,Inversiones!$C$156:$C$285,"&gt;="&amp;INDEX(Inversiones!$F$30:$F$149,MATCH(C279,Inversiones!$B$30:$B$149,0)),Inversiones!$C$156:$C$285,"&lt;="&amp;D279,Inversiones!$E$156:$E$285,"Compra")-SUMIFS(Inversiones!$J$156:$J$285,Inversiones!$D$156:$D$285,C279,Inversiones!$C$156:$C$285,"&gt;="&amp;INDEX(Inversiones!$F$30:$F$149,MATCH(C279,Inversiones!$B$30:$B$149,0)),Inversiones!$C$156:$C$285,"&lt;="&amp;D279,Inversiones!$E$156:$E$285,"Venta"))</f>
        <v/>
      </c>
      <c r="H279" s="1" t="str">
        <f>IF(E279=0,"",MAXIFS(Inversiones!$C$292:$C$921,Inversiones!$B$292:$B$921,C279,Inversiones!$C$292:$C$921,"&lt;="&amp;D279))</f>
        <v/>
      </c>
      <c r="I279" s="1" t="str">
        <f>IF(OR(E279=0,H279=0),"",SUMIFS(Inversiones!$D$292:$D$921,Inversiones!$B$292:$B$921,C279,Inversiones!$C$292:$C$921,H279))</f>
        <v/>
      </c>
      <c r="J279" s="1" t="str">
        <f t="shared" si="9"/>
        <v/>
      </c>
      <c r="K279" s="1">
        <f t="shared" si="10"/>
        <v>0</v>
      </c>
      <c r="L279" s="1"/>
      <c r="M279" s="1"/>
      <c r="N279" s="1"/>
      <c r="O279" s="1"/>
      <c r="P279" s="1"/>
      <c r="Q279" s="1"/>
      <c r="R279" s="1"/>
    </row>
    <row r="280" ht="24.75" customHeight="1">
      <c r="A280" s="1"/>
      <c r="B280" s="1" t="str">
        <f>IF(EDATE(DATE(YEAR(IF(COUNT(Inversiones!$F$30:$F$149)=0,'Configuración'!$C$8,MIN(Inversiones!$F$30:$F$149))),MONTH(IF(COUNT(Inversiones!$F$30:$F$149)=0,'Configuración'!$C$8,MIN(Inversiones!$F$30:$F$149))),1),INT(2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(2/MAX(1,COUNTA(Inversiones!$B$30:$B$149)))))</f>
        <v/>
      </c>
      <c r="C280" s="1" t="str">
        <f>IFERROR(__xludf.DUMMYFUNCTION("IF(B280="""","""",IFERROR(INDEX(FILTER(Inversiones!$B$30:$B$149,Inversiones!$B$30:$B$149&lt;&gt;""""),MOD(2,MAX(1,COUNTA(Inversiones!$B$30:$B$149)))+1),""""))"),"")</f>
        <v/>
      </c>
      <c r="D280" s="1" t="str">
        <f>IF(C280="","",MIN(EOMONTH(B280,0),'Configuración'!$C$8))</f>
        <v/>
      </c>
      <c r="E280" s="1">
        <f t="array" ref="E280">IF(C280="",0,IF(D280&lt;INDEX(Inversiones!$F$30:$F$149,MATCH(C280,Inversiones!$B$30:$B$149,0)),0,1))</f>
        <v>0</v>
      </c>
      <c r="F280" s="1" t="str">
        <f t="array" ref="F280">IF(E280=0,"",INDEX(Inversiones!$G$30:$G$149,MATCH(C280,Inversiones!$B$30:$B$149,0))+SUMIFS(Inversiones!$F$156:$F$285,Inversiones!$D$156:$D$285,C280,Inversiones!$C$156:$C$285,"&gt;="&amp;INDEX(Inversiones!$F$30:$F$149,MATCH(C280,Inversiones!$B$30:$B$149,0)),Inversiones!$C$156:$C$285,"&lt;="&amp;D280,Inversiones!$E$156:$E$285,"Compra")-SUMIFS(Inversiones!$F$156:$F$285,Inversiones!$D$156:$D$285,C280,Inversiones!$C$156:$C$285,"&gt;="&amp;INDEX(Inversiones!$F$30:$F$149,MATCH(C280,Inversiones!$B$30:$B$149,0)),Inversiones!$C$156:$C$285,"&lt;="&amp;D280,Inversiones!$E$156:$E$285,"Venta"))</f>
        <v/>
      </c>
      <c r="G280" s="1" t="str">
        <f t="array" ref="G280">IF(E280=0,"",INDEX(Inversiones!$H$30:$H$149,MATCH(C280,Inversiones!$B$30:$B$149,0))+SUMIFS(Inversiones!$J$156:$J$285,Inversiones!$D$156:$D$285,C280,Inversiones!$C$156:$C$285,"&gt;="&amp;INDEX(Inversiones!$F$30:$F$149,MATCH(C280,Inversiones!$B$30:$B$149,0)),Inversiones!$C$156:$C$285,"&lt;="&amp;D280,Inversiones!$E$156:$E$285,"Compra")-SUMIFS(Inversiones!$J$156:$J$285,Inversiones!$D$156:$D$285,C280,Inversiones!$C$156:$C$285,"&gt;="&amp;INDEX(Inversiones!$F$30:$F$149,MATCH(C280,Inversiones!$B$30:$B$149,0)),Inversiones!$C$156:$C$285,"&lt;="&amp;D280,Inversiones!$E$156:$E$285,"Venta"))</f>
        <v/>
      </c>
      <c r="H280" s="1" t="str">
        <f>IF(E280=0,"",MAXIFS(Inversiones!$C$292:$C$921,Inversiones!$B$292:$B$921,C280,Inversiones!$C$292:$C$921,"&lt;="&amp;D280))</f>
        <v/>
      </c>
      <c r="I280" s="1" t="str">
        <f>IF(OR(E280=0,H280=0),"",SUMIFS(Inversiones!$D$292:$D$921,Inversiones!$B$292:$B$921,C280,Inversiones!$C$292:$C$921,H280))</f>
        <v/>
      </c>
      <c r="J280" s="1" t="str">
        <f t="shared" si="9"/>
        <v/>
      </c>
      <c r="K280" s="1">
        <f t="shared" si="10"/>
        <v>0</v>
      </c>
      <c r="L280" s="1"/>
      <c r="M280" s="1"/>
      <c r="N280" s="1"/>
      <c r="O280" s="1"/>
      <c r="P280" s="1"/>
      <c r="Q280" s="1"/>
      <c r="R280" s="1"/>
    </row>
    <row r="281" ht="24.75" customHeight="1">
      <c r="A281" s="1"/>
      <c r="B281" s="1" t="str">
        <f>IF(EDATE(DATE(YEAR(IF(COUNT(Inversiones!$F$30:$F$149)=0,'Configuración'!$C$8,MIN(Inversiones!$F$30:$F$149))),MONTH(IF(COUNT(Inversiones!$F$30:$F$149)=0,'Configuración'!$C$8,MIN(Inversiones!$F$30:$F$149))),1),INT(3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(3/MAX(1,COUNTA(Inversiones!$B$30:$B$149)))))</f>
        <v/>
      </c>
      <c r="C281" s="1" t="str">
        <f>IFERROR(__xludf.DUMMYFUNCTION("IF(B281="""","""",IFERROR(INDEX(FILTER(Inversiones!$B$30:$B$149,Inversiones!$B$30:$B$149&lt;&gt;""""),MOD(3,MAX(1,COUNTA(Inversiones!$B$30:$B$149)))+1),""""))"),"")</f>
        <v/>
      </c>
      <c r="D281" s="1" t="str">
        <f>IF(C281="","",MIN(EOMONTH(B281,0),'Configuración'!$C$8))</f>
        <v/>
      </c>
      <c r="E281" s="1">
        <f t="array" ref="E281">IF(C281="",0,IF(D281&lt;INDEX(Inversiones!$F$30:$F$149,MATCH(C281,Inversiones!$B$30:$B$149,0)),0,1))</f>
        <v>0</v>
      </c>
      <c r="F281" s="66" t="str">
        <f t="array" ref="F281">IF(E281=0,"",INDEX(Inversiones!$G$30:$G$149,MATCH(C281,Inversiones!$B$30:$B$149,0))+SUMIFS(Inversiones!$F$156:$F$285,Inversiones!$D$156:$D$285,C281,Inversiones!$C$156:$C$285,"&gt;="&amp;INDEX(Inversiones!$F$30:$F$149,MATCH(C281,Inversiones!$B$30:$B$149,0)),Inversiones!$C$156:$C$285,"&lt;="&amp;D281,Inversiones!$E$156:$E$285,"Compra")-SUMIFS(Inversiones!$F$156:$F$285,Inversiones!$D$156:$D$285,C281,Inversiones!$C$156:$C$285,"&gt;="&amp;INDEX(Inversiones!$F$30:$F$149,MATCH(C281,Inversiones!$B$30:$B$149,0)),Inversiones!$C$156:$C$285,"&lt;="&amp;D281,Inversiones!$E$156:$E$285,"Venta"))</f>
        <v/>
      </c>
      <c r="G281" s="39" t="str">
        <f t="array" ref="G281">IF(E281=0,"",INDEX(Inversiones!$H$30:$H$149,MATCH(C281,Inversiones!$B$30:$B$149,0))+SUMIFS(Inversiones!$J$156:$J$285,Inversiones!$D$156:$D$285,C281,Inversiones!$C$156:$C$285,"&gt;="&amp;INDEX(Inversiones!$F$30:$F$149,MATCH(C281,Inversiones!$B$30:$B$149,0)),Inversiones!$C$156:$C$285,"&lt;="&amp;D281,Inversiones!$E$156:$E$285,"Compra")-SUMIFS(Inversiones!$J$156:$J$285,Inversiones!$D$156:$D$285,C281,Inversiones!$C$156:$C$285,"&gt;="&amp;INDEX(Inversiones!$F$30:$F$149,MATCH(C281,Inversiones!$B$30:$B$149,0)),Inversiones!$C$156:$C$285,"&lt;="&amp;D281,Inversiones!$E$156:$E$285,"Venta"))</f>
        <v/>
      </c>
      <c r="H281" s="1" t="str">
        <f>IF(E281=0,"",MAXIFS(Inversiones!$C$292:$C$921,Inversiones!$B$292:$B$921,C281,Inversiones!$C$292:$C$921,"&lt;="&amp;D281))</f>
        <v/>
      </c>
      <c r="I281" s="1" t="str">
        <f>IF(OR(E281=0,H281=0),"",SUMIFS(Inversiones!$D$292:$D$921,Inversiones!$B$292:$B$921,C281,Inversiones!$C$292:$C$921,H281))</f>
        <v/>
      </c>
      <c r="J281" s="1" t="str">
        <f t="shared" si="9"/>
        <v/>
      </c>
      <c r="K281" s="1">
        <f t="shared" si="10"/>
        <v>0</v>
      </c>
      <c r="L281" s="1"/>
      <c r="M281" s="1"/>
      <c r="N281" s="1"/>
      <c r="O281" s="1"/>
      <c r="P281" s="1"/>
      <c r="Q281" s="1"/>
      <c r="R281" s="1"/>
    </row>
    <row r="282" ht="24.75" customHeight="1">
      <c r="A282" s="1"/>
      <c r="B282" s="1" t="str">
        <f>IF(EDATE(DATE(YEAR(IF(COUNT(Inversiones!$F$30:$F$149)=0,'Configuración'!$C$8,MIN(Inversiones!$F$30:$F$149))),MONTH(IF(COUNT(Inversiones!$F$30:$F$149)=0,'Configuración'!$C$8,MIN(Inversiones!$F$30:$F$149))),1),INT(4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(4/MAX(1,COUNTA(Inversiones!$B$30:$B$149)))))</f>
        <v/>
      </c>
      <c r="C282" s="1" t="str">
        <f>IFERROR(__xludf.DUMMYFUNCTION("IF(B282="""","""",IFERROR(INDEX(FILTER(Inversiones!$B$30:$B$149,Inversiones!$B$30:$B$149&lt;&gt;""""),MOD(4,MAX(1,COUNTA(Inversiones!$B$30:$B$149)))+1),""""))"),"")</f>
        <v/>
      </c>
      <c r="D282" s="1" t="str">
        <f>IF(C282="","",MIN(EOMONTH(B282,0),'Configuración'!$C$8))</f>
        <v/>
      </c>
      <c r="E282" s="1">
        <f t="array" ref="E282">IF(C282="",0,IF(D282&lt;INDEX(Inversiones!$F$30:$F$149,MATCH(C282,Inversiones!$B$30:$B$149,0)),0,1))</f>
        <v>0</v>
      </c>
      <c r="F282" s="1" t="str">
        <f t="array" ref="F282">IF(E282=0,"",INDEX(Inversiones!$G$30:$G$149,MATCH(C282,Inversiones!$B$30:$B$149,0))+SUMIFS(Inversiones!$F$156:$F$285,Inversiones!$D$156:$D$285,C282,Inversiones!$C$156:$C$285,"&gt;="&amp;INDEX(Inversiones!$F$30:$F$149,MATCH(C282,Inversiones!$B$30:$B$149,0)),Inversiones!$C$156:$C$285,"&lt;="&amp;D282,Inversiones!$E$156:$E$285,"Compra")-SUMIFS(Inversiones!$F$156:$F$285,Inversiones!$D$156:$D$285,C282,Inversiones!$C$156:$C$285,"&gt;="&amp;INDEX(Inversiones!$F$30:$F$149,MATCH(C282,Inversiones!$B$30:$B$149,0)),Inversiones!$C$156:$C$285,"&lt;="&amp;D282,Inversiones!$E$156:$E$285,"Venta"))</f>
        <v/>
      </c>
      <c r="G282" s="1" t="str">
        <f t="array" ref="G282">IF(E282=0,"",INDEX(Inversiones!$H$30:$H$149,MATCH(C282,Inversiones!$B$30:$B$149,0))+SUMIFS(Inversiones!$J$156:$J$285,Inversiones!$D$156:$D$285,C282,Inversiones!$C$156:$C$285,"&gt;="&amp;INDEX(Inversiones!$F$30:$F$149,MATCH(C282,Inversiones!$B$30:$B$149,0)),Inversiones!$C$156:$C$285,"&lt;="&amp;D282,Inversiones!$E$156:$E$285,"Compra")-SUMIFS(Inversiones!$J$156:$J$285,Inversiones!$D$156:$D$285,C282,Inversiones!$C$156:$C$285,"&gt;="&amp;INDEX(Inversiones!$F$30:$F$149,MATCH(C282,Inversiones!$B$30:$B$149,0)),Inversiones!$C$156:$C$285,"&lt;="&amp;D282,Inversiones!$E$156:$E$285,"Venta"))</f>
        <v/>
      </c>
      <c r="H282" s="1" t="str">
        <f>IF(E282=0,"",MAXIFS(Inversiones!$C$292:$C$921,Inversiones!$B$292:$B$921,C282,Inversiones!$C$292:$C$921,"&lt;="&amp;D282))</f>
        <v/>
      </c>
      <c r="I282" s="1" t="str">
        <f>IF(OR(E282=0,H282=0),"",SUMIFS(Inversiones!$D$292:$D$921,Inversiones!$B$292:$B$921,C282,Inversiones!$C$292:$C$921,H282))</f>
        <v/>
      </c>
      <c r="J282" s="1" t="str">
        <f t="shared" si="9"/>
        <v/>
      </c>
      <c r="K282" s="1">
        <f t="shared" si="10"/>
        <v>0</v>
      </c>
      <c r="L282" s="1"/>
      <c r="M282" s="1"/>
      <c r="N282" s="1"/>
      <c r="O282" s="1"/>
      <c r="P282" s="1"/>
      <c r="Q282" s="1"/>
      <c r="R282" s="1"/>
    </row>
    <row r="283" ht="24.75" customHeight="1">
      <c r="A283" s="1"/>
      <c r="B283" s="1" t="str">
        <f>IF(EDATE(DATE(YEAR(IF(COUNT(Inversiones!$F$30:$F$149)=0,'Configuración'!$C$8,MIN(Inversiones!$F$30:$F$149))),MONTH(IF(COUNT(Inversiones!$F$30:$F$149)=0,'Configuración'!$C$8,MIN(Inversiones!$F$30:$F$149))),1),INT(5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(5/MAX(1,COUNTA(Inversiones!$B$30:$B$149)))))</f>
        <v/>
      </c>
      <c r="C283" s="1" t="str">
        <f>IFERROR(__xludf.DUMMYFUNCTION("IF(B283="""","""",IFERROR(INDEX(FILTER(Inversiones!$B$30:$B$149,Inversiones!$B$30:$B$149&lt;&gt;""""),MOD(5,MAX(1,COUNTA(Inversiones!$B$30:$B$149)))+1),""""))"),"")</f>
        <v/>
      </c>
      <c r="D283" s="1" t="str">
        <f>IF(C283="","",MIN(EOMONTH(B283,0),'Configuración'!$C$8))</f>
        <v/>
      </c>
      <c r="E283" s="1">
        <f t="array" ref="E283">IF(C283="",0,IF(D283&lt;INDEX(Inversiones!$F$30:$F$149,MATCH(C283,Inversiones!$B$30:$B$149,0)),0,1))</f>
        <v>0</v>
      </c>
      <c r="F283" s="1" t="str">
        <f t="array" ref="F283">IF(E283=0,"",INDEX(Inversiones!$G$30:$G$149,MATCH(C283,Inversiones!$B$30:$B$149,0))+SUMIFS(Inversiones!$F$156:$F$285,Inversiones!$D$156:$D$285,C283,Inversiones!$C$156:$C$285,"&gt;="&amp;INDEX(Inversiones!$F$30:$F$149,MATCH(C283,Inversiones!$B$30:$B$149,0)),Inversiones!$C$156:$C$285,"&lt;="&amp;D283,Inversiones!$E$156:$E$285,"Compra")-SUMIFS(Inversiones!$F$156:$F$285,Inversiones!$D$156:$D$285,C283,Inversiones!$C$156:$C$285,"&gt;="&amp;INDEX(Inversiones!$F$30:$F$149,MATCH(C283,Inversiones!$B$30:$B$149,0)),Inversiones!$C$156:$C$285,"&lt;="&amp;D283,Inversiones!$E$156:$E$285,"Venta"))</f>
        <v/>
      </c>
      <c r="G283" s="1" t="str">
        <f t="array" ref="G283">IF(E283=0,"",INDEX(Inversiones!$H$30:$H$149,MATCH(C283,Inversiones!$B$30:$B$149,0))+SUMIFS(Inversiones!$J$156:$J$285,Inversiones!$D$156:$D$285,C283,Inversiones!$C$156:$C$285,"&gt;="&amp;INDEX(Inversiones!$F$30:$F$149,MATCH(C283,Inversiones!$B$30:$B$149,0)),Inversiones!$C$156:$C$285,"&lt;="&amp;D283,Inversiones!$E$156:$E$285,"Compra")-SUMIFS(Inversiones!$J$156:$J$285,Inversiones!$D$156:$D$285,C283,Inversiones!$C$156:$C$285,"&gt;="&amp;INDEX(Inversiones!$F$30:$F$149,MATCH(C283,Inversiones!$B$30:$B$149,0)),Inversiones!$C$156:$C$285,"&lt;="&amp;D283,Inversiones!$E$156:$E$285,"Venta"))</f>
        <v/>
      </c>
      <c r="H283" s="1" t="str">
        <f>IF(E283=0,"",MAXIFS(Inversiones!$C$292:$C$921,Inversiones!$B$292:$B$921,C283,Inversiones!$C$292:$C$921,"&lt;="&amp;D283))</f>
        <v/>
      </c>
      <c r="I283" s="1" t="str">
        <f>IF(OR(E283=0,H283=0),"",SUMIFS(Inversiones!$D$292:$D$921,Inversiones!$B$292:$B$921,C283,Inversiones!$C$292:$C$921,H283))</f>
        <v/>
      </c>
      <c r="J283" s="1" t="str">
        <f t="shared" si="9"/>
        <v/>
      </c>
      <c r="K283" s="1">
        <f t="shared" si="10"/>
        <v>0</v>
      </c>
      <c r="L283" s="1"/>
      <c r="M283" s="1"/>
      <c r="N283" s="1"/>
      <c r="O283" s="1"/>
      <c r="P283" s="1"/>
      <c r="Q283" s="1"/>
      <c r="R283" s="1"/>
    </row>
    <row r="284" ht="24.75" customHeight="1">
      <c r="A284" s="1"/>
      <c r="B284" s="1" t="str">
        <f>IF(EDATE(DATE(YEAR(IF(COUNT(Inversiones!$F$30:$F$149)=0,'Configuración'!$C$8,MIN(Inversiones!$F$30:$F$149))),MONTH(IF(COUNT(Inversiones!$F$30:$F$149)=0,'Configuración'!$C$8,MIN(Inversiones!$F$30:$F$149))),1),INT(6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(6/MAX(1,COUNTA(Inversiones!$B$30:$B$149)))))</f>
        <v/>
      </c>
      <c r="C284" s="1" t="str">
        <f>IFERROR(__xludf.DUMMYFUNCTION("IF(B284="""","""",IFERROR(INDEX(FILTER(Inversiones!$B$30:$B$149,Inversiones!$B$30:$B$149&lt;&gt;""""),MOD(6,MAX(1,COUNTA(Inversiones!$B$30:$B$149)))+1),""""))"),"")</f>
        <v/>
      </c>
      <c r="D284" s="1" t="str">
        <f>IF(C284="","",MIN(EOMONTH(B284,0),'Configuración'!$C$8))</f>
        <v/>
      </c>
      <c r="E284" s="1">
        <f t="array" ref="E284">IF(C284="",0,IF(D284&lt;INDEX(Inversiones!$F$30:$F$149,MATCH(C284,Inversiones!$B$30:$B$149,0)),0,1))</f>
        <v>0</v>
      </c>
      <c r="F284" s="66" t="str">
        <f t="array" ref="F284">IF(E284=0,"",INDEX(Inversiones!$G$30:$G$149,MATCH(C284,Inversiones!$B$30:$B$149,0))+SUMIFS(Inversiones!$F$156:$F$285,Inversiones!$D$156:$D$285,C284,Inversiones!$C$156:$C$285,"&gt;="&amp;INDEX(Inversiones!$F$30:$F$149,MATCH(C284,Inversiones!$B$30:$B$149,0)),Inversiones!$C$156:$C$285,"&lt;="&amp;D284,Inversiones!$E$156:$E$285,"Compra")-SUMIFS(Inversiones!$F$156:$F$285,Inversiones!$D$156:$D$285,C284,Inversiones!$C$156:$C$285,"&gt;="&amp;INDEX(Inversiones!$F$30:$F$149,MATCH(C284,Inversiones!$B$30:$B$149,0)),Inversiones!$C$156:$C$285,"&lt;="&amp;D284,Inversiones!$E$156:$E$285,"Venta"))</f>
        <v/>
      </c>
      <c r="G284" s="39" t="str">
        <f t="array" ref="G284">IF(E284=0,"",INDEX(Inversiones!$H$30:$H$149,MATCH(C284,Inversiones!$B$30:$B$149,0))+SUMIFS(Inversiones!$J$156:$J$285,Inversiones!$D$156:$D$285,C284,Inversiones!$C$156:$C$285,"&gt;="&amp;INDEX(Inversiones!$F$30:$F$149,MATCH(C284,Inversiones!$B$30:$B$149,0)),Inversiones!$C$156:$C$285,"&lt;="&amp;D284,Inversiones!$E$156:$E$285,"Compra")-SUMIFS(Inversiones!$J$156:$J$285,Inversiones!$D$156:$D$285,C284,Inversiones!$C$156:$C$285,"&gt;="&amp;INDEX(Inversiones!$F$30:$F$149,MATCH(C284,Inversiones!$B$30:$B$149,0)),Inversiones!$C$156:$C$285,"&lt;="&amp;D284,Inversiones!$E$156:$E$285,"Venta"))</f>
        <v/>
      </c>
      <c r="H284" s="1" t="str">
        <f>IF(E284=0,"",MAXIFS(Inversiones!$C$292:$C$921,Inversiones!$B$292:$B$921,C284,Inversiones!$C$292:$C$921,"&lt;="&amp;D284))</f>
        <v/>
      </c>
      <c r="I284" s="1" t="str">
        <f>IF(OR(E284=0,H284=0),"",SUMIFS(Inversiones!$D$292:$D$921,Inversiones!$B$292:$B$921,C284,Inversiones!$C$292:$C$921,H284))</f>
        <v/>
      </c>
      <c r="J284" s="1" t="str">
        <f t="shared" si="9"/>
        <v/>
      </c>
      <c r="K284" s="1">
        <f t="shared" si="10"/>
        <v>0</v>
      </c>
      <c r="L284" s="1"/>
      <c r="M284" s="1"/>
      <c r="N284" s="1"/>
      <c r="O284" s="1"/>
      <c r="P284" s="1"/>
      <c r="Q284" s="1"/>
      <c r="R284" s="1"/>
    </row>
    <row r="285" ht="24.75" customHeight="1">
      <c r="A285" s="1"/>
      <c r="B285" s="1" t="str">
        <f>IF(EDATE(DATE(YEAR(IF(COUNT(Inversiones!$F$30:$F$149)=0,'Configuración'!$C$8,MIN(Inversiones!$F$30:$F$149))),MONTH(IF(COUNT(Inversiones!$F$30:$F$149)=0,'Configuración'!$C$8,MIN(Inversiones!$F$30:$F$149))),1),INT(7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(7/MAX(1,COUNTA(Inversiones!$B$30:$B$149)))))</f>
        <v/>
      </c>
      <c r="C285" s="1" t="str">
        <f>IFERROR(__xludf.DUMMYFUNCTION("IF(B285="""","""",IFERROR(INDEX(FILTER(Inversiones!$B$30:$B$149,Inversiones!$B$30:$B$149&lt;&gt;""""),MOD(7,MAX(1,COUNTA(Inversiones!$B$30:$B$149)))+1),""""))"),"")</f>
        <v/>
      </c>
      <c r="D285" s="1" t="str">
        <f>IF(C285="","",MIN(EOMONTH(B285,0),'Configuración'!$C$8))</f>
        <v/>
      </c>
      <c r="E285" s="1">
        <f t="array" ref="E285">IF(C285="",0,IF(D285&lt;INDEX(Inversiones!$F$30:$F$149,MATCH(C285,Inversiones!$B$30:$B$149,0)),0,1))</f>
        <v>0</v>
      </c>
      <c r="F285" s="1" t="str">
        <f t="array" ref="F285">IF(E285=0,"",INDEX(Inversiones!$G$30:$G$149,MATCH(C285,Inversiones!$B$30:$B$149,0))+SUMIFS(Inversiones!$F$156:$F$285,Inversiones!$D$156:$D$285,C285,Inversiones!$C$156:$C$285,"&gt;="&amp;INDEX(Inversiones!$F$30:$F$149,MATCH(C285,Inversiones!$B$30:$B$149,0)),Inversiones!$C$156:$C$285,"&lt;="&amp;D285,Inversiones!$E$156:$E$285,"Compra")-SUMIFS(Inversiones!$F$156:$F$285,Inversiones!$D$156:$D$285,C285,Inversiones!$C$156:$C$285,"&gt;="&amp;INDEX(Inversiones!$F$30:$F$149,MATCH(C285,Inversiones!$B$30:$B$149,0)),Inversiones!$C$156:$C$285,"&lt;="&amp;D285,Inversiones!$E$156:$E$285,"Venta"))</f>
        <v/>
      </c>
      <c r="G285" s="1" t="str">
        <f t="array" ref="G285">IF(E285=0,"",INDEX(Inversiones!$H$30:$H$149,MATCH(C285,Inversiones!$B$30:$B$149,0))+SUMIFS(Inversiones!$J$156:$J$285,Inversiones!$D$156:$D$285,C285,Inversiones!$C$156:$C$285,"&gt;="&amp;INDEX(Inversiones!$F$30:$F$149,MATCH(C285,Inversiones!$B$30:$B$149,0)),Inversiones!$C$156:$C$285,"&lt;="&amp;D285,Inversiones!$E$156:$E$285,"Compra")-SUMIFS(Inversiones!$J$156:$J$285,Inversiones!$D$156:$D$285,C285,Inversiones!$C$156:$C$285,"&gt;="&amp;INDEX(Inversiones!$F$30:$F$149,MATCH(C285,Inversiones!$B$30:$B$149,0)),Inversiones!$C$156:$C$285,"&lt;="&amp;D285,Inversiones!$E$156:$E$285,"Venta"))</f>
        <v/>
      </c>
      <c r="H285" s="1" t="str">
        <f>IF(E285=0,"",MAXIFS(Inversiones!$C$292:$C$921,Inversiones!$B$292:$B$921,C285,Inversiones!$C$292:$C$921,"&lt;="&amp;D285))</f>
        <v/>
      </c>
      <c r="I285" s="1" t="str">
        <f>IF(OR(E285=0,H285=0),"",SUMIFS(Inversiones!$D$292:$D$921,Inversiones!$B$292:$B$921,C285,Inversiones!$C$292:$C$921,H285))</f>
        <v/>
      </c>
      <c r="J285" s="1" t="str">
        <f t="shared" si="9"/>
        <v/>
      </c>
      <c r="K285" s="1">
        <f t="shared" si="10"/>
        <v>0</v>
      </c>
      <c r="L285" s="1"/>
      <c r="M285" s="1"/>
      <c r="N285" s="1"/>
      <c r="O285" s="1"/>
      <c r="P285" s="1"/>
      <c r="Q285" s="1"/>
      <c r="R285" s="1"/>
    </row>
    <row r="286" ht="24.75" customHeight="1">
      <c r="A286" s="1"/>
      <c r="B286" s="1" t="str">
        <f>IF(EDATE(DATE(YEAR(IF(COUNT(Inversiones!$F$30:$F$149)=0,'Configuración'!$C$8,MIN(Inversiones!$F$30:$F$149))),MONTH(IF(COUNT(Inversiones!$F$30:$F$149)=0,'Configuración'!$C$8,MIN(Inversiones!$F$30:$F$149))),1),INT(8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(8/MAX(1,COUNTA(Inversiones!$B$30:$B$149)))))</f>
        <v/>
      </c>
      <c r="C286" s="1" t="str">
        <f>IFERROR(__xludf.DUMMYFUNCTION("IF(B286="""","""",IFERROR(INDEX(FILTER(Inversiones!$B$30:$B$149,Inversiones!$B$30:$B$149&lt;&gt;""""),MOD(8,MAX(1,COUNTA(Inversiones!$B$30:$B$149)))+1),""""))"),"")</f>
        <v/>
      </c>
      <c r="D286" s="1" t="str">
        <f>IF(C286="","",MIN(EOMONTH(B286,0),'Configuración'!$C$8))</f>
        <v/>
      </c>
      <c r="E286" s="1">
        <f t="array" ref="E286">IF(C286="",0,IF(D286&lt;INDEX(Inversiones!$F$30:$F$149,MATCH(C286,Inversiones!$B$30:$B$149,0)),0,1))</f>
        <v>0</v>
      </c>
      <c r="F286" s="1" t="str">
        <f t="array" ref="F286">IF(E286=0,"",INDEX(Inversiones!$G$30:$G$149,MATCH(C286,Inversiones!$B$30:$B$149,0))+SUMIFS(Inversiones!$F$156:$F$285,Inversiones!$D$156:$D$285,C286,Inversiones!$C$156:$C$285,"&gt;="&amp;INDEX(Inversiones!$F$30:$F$149,MATCH(C286,Inversiones!$B$30:$B$149,0)),Inversiones!$C$156:$C$285,"&lt;="&amp;D286,Inversiones!$E$156:$E$285,"Compra")-SUMIFS(Inversiones!$F$156:$F$285,Inversiones!$D$156:$D$285,C286,Inversiones!$C$156:$C$285,"&gt;="&amp;INDEX(Inversiones!$F$30:$F$149,MATCH(C286,Inversiones!$B$30:$B$149,0)),Inversiones!$C$156:$C$285,"&lt;="&amp;D286,Inversiones!$E$156:$E$285,"Venta"))</f>
        <v/>
      </c>
      <c r="G286" s="1" t="str">
        <f t="array" ref="G286">IF(E286=0,"",INDEX(Inversiones!$H$30:$H$149,MATCH(C286,Inversiones!$B$30:$B$149,0))+SUMIFS(Inversiones!$J$156:$J$285,Inversiones!$D$156:$D$285,C286,Inversiones!$C$156:$C$285,"&gt;="&amp;INDEX(Inversiones!$F$30:$F$149,MATCH(C286,Inversiones!$B$30:$B$149,0)),Inversiones!$C$156:$C$285,"&lt;="&amp;D286,Inversiones!$E$156:$E$285,"Compra")-SUMIFS(Inversiones!$J$156:$J$285,Inversiones!$D$156:$D$285,C286,Inversiones!$C$156:$C$285,"&gt;="&amp;INDEX(Inversiones!$F$30:$F$149,MATCH(C286,Inversiones!$B$30:$B$149,0)),Inversiones!$C$156:$C$285,"&lt;="&amp;D286,Inversiones!$E$156:$E$285,"Venta"))</f>
        <v/>
      </c>
      <c r="H286" s="1" t="str">
        <f>IF(E286=0,"",MAXIFS(Inversiones!$C$292:$C$921,Inversiones!$B$292:$B$921,C286,Inversiones!$C$292:$C$921,"&lt;="&amp;D286))</f>
        <v/>
      </c>
      <c r="I286" s="1" t="str">
        <f>IF(OR(E286=0,H286=0),"",SUMIFS(Inversiones!$D$292:$D$921,Inversiones!$B$292:$B$921,C286,Inversiones!$C$292:$C$921,H286))</f>
        <v/>
      </c>
      <c r="J286" s="1" t="str">
        <f t="shared" si="9"/>
        <v/>
      </c>
      <c r="K286" s="1">
        <f t="shared" si="10"/>
        <v>0</v>
      </c>
      <c r="L286" s="1"/>
      <c r="M286" s="1"/>
      <c r="N286" s="1"/>
      <c r="O286" s="1"/>
      <c r="P286" s="1"/>
      <c r="Q286" s="1"/>
      <c r="R286" s="1"/>
    </row>
    <row r="287" ht="24.75" customHeight="1">
      <c r="A287" s="1"/>
      <c r="B287" s="1" t="str">
        <f>IF(EDATE(DATE(YEAR(IF(COUNT(Inversiones!$F$30:$F$149)=0,'Configuración'!$C$8,MIN(Inversiones!$F$30:$F$149))),MONTH(IF(COUNT(Inversiones!$F$30:$F$149)=0,'Configuración'!$C$8,MIN(Inversiones!$F$30:$F$149))),1),INT(9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(9/MAX(1,COUNTA(Inversiones!$B$30:$B$149)))))</f>
        <v/>
      </c>
      <c r="C287" s="1" t="str">
        <f>IFERROR(__xludf.DUMMYFUNCTION("IF(B287="""","""",IFERROR(INDEX(FILTER(Inversiones!$B$30:$B$149,Inversiones!$B$30:$B$149&lt;&gt;""""),MOD(9,MAX(1,COUNTA(Inversiones!$B$30:$B$149)))+1),""""))"),"")</f>
        <v/>
      </c>
      <c r="D287" s="1" t="str">
        <f>IF(C287="","",MIN(EOMONTH(B287,0),'Configuración'!$C$8))</f>
        <v/>
      </c>
      <c r="E287" s="1">
        <f t="array" ref="E287">IF(C287="",0,IF(D287&lt;INDEX(Inversiones!$F$30:$F$149,MATCH(C287,Inversiones!$B$30:$B$149,0)),0,1))</f>
        <v>0</v>
      </c>
      <c r="F287" s="66" t="str">
        <f t="array" ref="F287">IF(E287=0,"",INDEX(Inversiones!$G$30:$G$149,MATCH(C287,Inversiones!$B$30:$B$149,0))+SUMIFS(Inversiones!$F$156:$F$285,Inversiones!$D$156:$D$285,C287,Inversiones!$C$156:$C$285,"&gt;="&amp;INDEX(Inversiones!$F$30:$F$149,MATCH(C287,Inversiones!$B$30:$B$149,0)),Inversiones!$C$156:$C$285,"&lt;="&amp;D287,Inversiones!$E$156:$E$285,"Compra")-SUMIFS(Inversiones!$F$156:$F$285,Inversiones!$D$156:$D$285,C287,Inversiones!$C$156:$C$285,"&gt;="&amp;INDEX(Inversiones!$F$30:$F$149,MATCH(C287,Inversiones!$B$30:$B$149,0)),Inversiones!$C$156:$C$285,"&lt;="&amp;D287,Inversiones!$E$156:$E$285,"Venta"))</f>
        <v/>
      </c>
      <c r="G287" s="39" t="str">
        <f t="array" ref="G287">IF(E287=0,"",INDEX(Inversiones!$H$30:$H$149,MATCH(C287,Inversiones!$B$30:$B$149,0))+SUMIFS(Inversiones!$J$156:$J$285,Inversiones!$D$156:$D$285,C287,Inversiones!$C$156:$C$285,"&gt;="&amp;INDEX(Inversiones!$F$30:$F$149,MATCH(C287,Inversiones!$B$30:$B$149,0)),Inversiones!$C$156:$C$285,"&lt;="&amp;D287,Inversiones!$E$156:$E$285,"Compra")-SUMIFS(Inversiones!$J$156:$J$285,Inversiones!$D$156:$D$285,C287,Inversiones!$C$156:$C$285,"&gt;="&amp;INDEX(Inversiones!$F$30:$F$149,MATCH(C287,Inversiones!$B$30:$B$149,0)),Inversiones!$C$156:$C$285,"&lt;="&amp;D287,Inversiones!$E$156:$E$285,"Venta"))</f>
        <v/>
      </c>
      <c r="H287" s="1" t="str">
        <f>IF(E287=0,"",MAXIFS(Inversiones!$C$292:$C$921,Inversiones!$B$292:$B$921,C287,Inversiones!$C$292:$C$921,"&lt;="&amp;D287))</f>
        <v/>
      </c>
      <c r="I287" s="1" t="str">
        <f>IF(OR(E287=0,H287=0),"",SUMIFS(Inversiones!$D$292:$D$921,Inversiones!$B$292:$B$921,C287,Inversiones!$C$292:$C$921,H287))</f>
        <v/>
      </c>
      <c r="J287" s="1" t="str">
        <f t="shared" si="9"/>
        <v/>
      </c>
      <c r="K287" s="1">
        <f t="shared" si="10"/>
        <v>0</v>
      </c>
      <c r="L287" s="1"/>
      <c r="M287" s="1"/>
      <c r="N287" s="1"/>
      <c r="O287" s="1"/>
      <c r="P287" s="1"/>
      <c r="Q287" s="1"/>
      <c r="R287" s="1"/>
    </row>
    <row r="288" ht="24.75" customHeight="1">
      <c r="A288" s="1"/>
      <c r="B288" s="1" t="str">
        <f>IF(EDATE(DATE(YEAR(IF(COUNT(Inversiones!$F$30:$F$149)=0,'Configuración'!$C$8,MIN(Inversiones!$F$30:$F$149))),MONTH(IF(COUNT(Inversiones!$F$30:$F$149)=0,'Configuración'!$C$8,MIN(Inversiones!$F$30:$F$149))),1),INT(10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(10/MAX(1,COUNTA(Inversiones!$B$30:$B$149)))))</f>
        <v/>
      </c>
      <c r="C288" s="1" t="str">
        <f>IFERROR(__xludf.DUMMYFUNCTION("IF(B288="""","""",IFERROR(INDEX(FILTER(Inversiones!$B$30:$B$149,Inversiones!$B$30:$B$149&lt;&gt;""""),MOD(10,MAX(1,COUNTA(Inversiones!$B$30:$B$149)))+1),""""))"),"")</f>
        <v/>
      </c>
      <c r="D288" s="1" t="str">
        <f>IF(C288="","",MIN(EOMONTH(B288,0),'Configuración'!$C$8))</f>
        <v/>
      </c>
      <c r="E288" s="1">
        <f t="array" ref="E288">IF(C288="",0,IF(D288&lt;INDEX(Inversiones!$F$30:$F$149,MATCH(C288,Inversiones!$B$30:$B$149,0)),0,1))</f>
        <v>0</v>
      </c>
      <c r="F288" s="1" t="str">
        <f t="array" ref="F288">IF(E288=0,"",INDEX(Inversiones!$G$30:$G$149,MATCH(C288,Inversiones!$B$30:$B$149,0))+SUMIFS(Inversiones!$F$156:$F$285,Inversiones!$D$156:$D$285,C288,Inversiones!$C$156:$C$285,"&gt;="&amp;INDEX(Inversiones!$F$30:$F$149,MATCH(C288,Inversiones!$B$30:$B$149,0)),Inversiones!$C$156:$C$285,"&lt;="&amp;D288,Inversiones!$E$156:$E$285,"Compra")-SUMIFS(Inversiones!$F$156:$F$285,Inversiones!$D$156:$D$285,C288,Inversiones!$C$156:$C$285,"&gt;="&amp;INDEX(Inversiones!$F$30:$F$149,MATCH(C288,Inversiones!$B$30:$B$149,0)),Inversiones!$C$156:$C$285,"&lt;="&amp;D288,Inversiones!$E$156:$E$285,"Venta"))</f>
        <v/>
      </c>
      <c r="G288" s="1" t="str">
        <f t="array" ref="G288">IF(E288=0,"",INDEX(Inversiones!$H$30:$H$149,MATCH(C288,Inversiones!$B$30:$B$149,0))+SUMIFS(Inversiones!$J$156:$J$285,Inversiones!$D$156:$D$285,C288,Inversiones!$C$156:$C$285,"&gt;="&amp;INDEX(Inversiones!$F$30:$F$149,MATCH(C288,Inversiones!$B$30:$B$149,0)),Inversiones!$C$156:$C$285,"&lt;="&amp;D288,Inversiones!$E$156:$E$285,"Compra")-SUMIFS(Inversiones!$J$156:$J$285,Inversiones!$D$156:$D$285,C288,Inversiones!$C$156:$C$285,"&gt;="&amp;INDEX(Inversiones!$F$30:$F$149,MATCH(C288,Inversiones!$B$30:$B$149,0)),Inversiones!$C$156:$C$285,"&lt;="&amp;D288,Inversiones!$E$156:$E$285,"Venta"))</f>
        <v/>
      </c>
      <c r="H288" s="1" t="str">
        <f>IF(E288=0,"",MAXIFS(Inversiones!$C$292:$C$921,Inversiones!$B$292:$B$921,C288,Inversiones!$C$292:$C$921,"&lt;="&amp;D288))</f>
        <v/>
      </c>
      <c r="I288" s="1" t="str">
        <f>IF(OR(E288=0,H288=0),"",SUMIFS(Inversiones!$D$292:$D$921,Inversiones!$B$292:$B$921,C288,Inversiones!$C$292:$C$921,H288))</f>
        <v/>
      </c>
      <c r="J288" s="1" t="str">
        <f t="shared" si="9"/>
        <v/>
      </c>
      <c r="K288" s="1">
        <f t="shared" si="10"/>
        <v>0</v>
      </c>
      <c r="L288" s="1"/>
      <c r="M288" s="1"/>
      <c r="N288" s="1"/>
      <c r="O288" s="1"/>
      <c r="P288" s="1"/>
      <c r="Q288" s="1"/>
      <c r="R288" s="1"/>
    </row>
    <row r="289" ht="24.75" customHeight="1">
      <c r="A289" s="1"/>
      <c r="B289" s="1" t="str">
        <f>IF(EDATE(DATE(YEAR(IF(COUNT(Inversiones!$F$30:$F$149)=0,'Configuración'!$C$8,MIN(Inversiones!$F$30:$F$149))),MONTH(IF(COUNT(Inversiones!$F$30:$F$149)=0,'Configuración'!$C$8,MIN(Inversiones!$F$30:$F$149))),1),INT(11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(11/MAX(1,COUNTA(Inversiones!$B$30:$B$149)))))</f>
        <v/>
      </c>
      <c r="C289" s="1" t="str">
        <f>IFERROR(__xludf.DUMMYFUNCTION("IF(B289="""","""",IFERROR(INDEX(FILTER(Inversiones!$B$30:$B$149,Inversiones!$B$30:$B$149&lt;&gt;""""),MOD(11,MAX(1,COUNTA(Inversiones!$B$30:$B$149)))+1),""""))"),"")</f>
        <v/>
      </c>
      <c r="D289" s="1" t="str">
        <f>IF(C289="","",MIN(EOMONTH(B289,0),'Configuración'!$C$8))</f>
        <v/>
      </c>
      <c r="E289" s="1">
        <f t="array" ref="E289">IF(C289="",0,IF(D289&lt;INDEX(Inversiones!$F$30:$F$149,MATCH(C289,Inversiones!$B$30:$B$149,0)),0,1))</f>
        <v>0</v>
      </c>
      <c r="F289" s="1" t="str">
        <f t="array" ref="F289">IF(E289=0,"",INDEX(Inversiones!$G$30:$G$149,MATCH(C289,Inversiones!$B$30:$B$149,0))+SUMIFS(Inversiones!$F$156:$F$285,Inversiones!$D$156:$D$285,C289,Inversiones!$C$156:$C$285,"&gt;="&amp;INDEX(Inversiones!$F$30:$F$149,MATCH(C289,Inversiones!$B$30:$B$149,0)),Inversiones!$C$156:$C$285,"&lt;="&amp;D289,Inversiones!$E$156:$E$285,"Compra")-SUMIFS(Inversiones!$F$156:$F$285,Inversiones!$D$156:$D$285,C289,Inversiones!$C$156:$C$285,"&gt;="&amp;INDEX(Inversiones!$F$30:$F$149,MATCH(C289,Inversiones!$B$30:$B$149,0)),Inversiones!$C$156:$C$285,"&lt;="&amp;D289,Inversiones!$E$156:$E$285,"Venta"))</f>
        <v/>
      </c>
      <c r="G289" s="1" t="str">
        <f t="array" ref="G289">IF(E289=0,"",INDEX(Inversiones!$H$30:$H$149,MATCH(C289,Inversiones!$B$30:$B$149,0))+SUMIFS(Inversiones!$J$156:$J$285,Inversiones!$D$156:$D$285,C289,Inversiones!$C$156:$C$285,"&gt;="&amp;INDEX(Inversiones!$F$30:$F$149,MATCH(C289,Inversiones!$B$30:$B$149,0)),Inversiones!$C$156:$C$285,"&lt;="&amp;D289,Inversiones!$E$156:$E$285,"Compra")-SUMIFS(Inversiones!$J$156:$J$285,Inversiones!$D$156:$D$285,C289,Inversiones!$C$156:$C$285,"&gt;="&amp;INDEX(Inversiones!$F$30:$F$149,MATCH(C289,Inversiones!$B$30:$B$149,0)),Inversiones!$C$156:$C$285,"&lt;="&amp;D289,Inversiones!$E$156:$E$285,"Venta"))</f>
        <v/>
      </c>
      <c r="H289" s="1" t="str">
        <f>IF(E289=0,"",MAXIFS(Inversiones!$C$292:$C$921,Inversiones!$B$292:$B$921,C289,Inversiones!$C$292:$C$921,"&lt;="&amp;D289))</f>
        <v/>
      </c>
      <c r="I289" s="1" t="str">
        <f>IF(OR(E289=0,H289=0),"",SUMIFS(Inversiones!$D$292:$D$921,Inversiones!$B$292:$B$921,C289,Inversiones!$C$292:$C$921,H289))</f>
        <v/>
      </c>
      <c r="J289" s="1" t="str">
        <f t="shared" si="9"/>
        <v/>
      </c>
      <c r="K289" s="1">
        <f t="shared" si="10"/>
        <v>0</v>
      </c>
      <c r="L289" s="1"/>
      <c r="M289" s="1"/>
      <c r="N289" s="1"/>
      <c r="O289" s="1"/>
      <c r="P289" s="1"/>
      <c r="Q289" s="1"/>
      <c r="R289" s="1"/>
    </row>
    <row r="290" ht="24.75" customHeight="1">
      <c r="A290" s="1"/>
      <c r="B290" s="1" t="str">
        <f>IF(EDATE(DATE(YEAR(IF(COUNT(Inversiones!$F$30:$F$149)=0,'Configuración'!$C$8,MIN(Inversiones!$F$30:$F$149))),MONTH(IF(COUNT(Inversiones!$F$30:$F$149)=0,'Configuración'!$C$8,MIN(Inversiones!$F$30:$F$149))),1),INT(12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(12/MAX(1,COUNTA(Inversiones!$B$30:$B$149)))))</f>
        <v/>
      </c>
      <c r="C290" s="1" t="str">
        <f>IFERROR(__xludf.DUMMYFUNCTION("IF(B290="""","""",IFERROR(INDEX(FILTER(Inversiones!$B$30:$B$149,Inversiones!$B$30:$B$149&lt;&gt;""""),MOD(12,MAX(1,COUNTA(Inversiones!$B$30:$B$149)))+1),""""))"),"")</f>
        <v/>
      </c>
      <c r="D290" s="1" t="str">
        <f>IF(C290="","",MIN(EOMONTH(B290,0),'Configuración'!$C$8))</f>
        <v/>
      </c>
      <c r="E290" s="1">
        <f t="array" ref="E290">IF(C290="",0,IF(D290&lt;INDEX(Inversiones!$F$30:$F$149,MATCH(C290,Inversiones!$B$30:$B$149,0)),0,1))</f>
        <v>0</v>
      </c>
      <c r="F290" s="66" t="str">
        <f t="array" ref="F290">IF(E290=0,"",INDEX(Inversiones!$G$30:$G$149,MATCH(C290,Inversiones!$B$30:$B$149,0))+SUMIFS(Inversiones!$F$156:$F$285,Inversiones!$D$156:$D$285,C290,Inversiones!$C$156:$C$285,"&gt;="&amp;INDEX(Inversiones!$F$30:$F$149,MATCH(C290,Inversiones!$B$30:$B$149,0)),Inversiones!$C$156:$C$285,"&lt;="&amp;D290,Inversiones!$E$156:$E$285,"Compra")-SUMIFS(Inversiones!$F$156:$F$285,Inversiones!$D$156:$D$285,C290,Inversiones!$C$156:$C$285,"&gt;="&amp;INDEX(Inversiones!$F$30:$F$149,MATCH(C290,Inversiones!$B$30:$B$149,0)),Inversiones!$C$156:$C$285,"&lt;="&amp;D290,Inversiones!$E$156:$E$285,"Venta"))</f>
        <v/>
      </c>
      <c r="G290" s="39" t="str">
        <f t="array" ref="G290">IF(E290=0,"",INDEX(Inversiones!$H$30:$H$149,MATCH(C290,Inversiones!$B$30:$B$149,0))+SUMIFS(Inversiones!$J$156:$J$285,Inversiones!$D$156:$D$285,C290,Inversiones!$C$156:$C$285,"&gt;="&amp;INDEX(Inversiones!$F$30:$F$149,MATCH(C290,Inversiones!$B$30:$B$149,0)),Inversiones!$C$156:$C$285,"&lt;="&amp;D290,Inversiones!$E$156:$E$285,"Compra")-SUMIFS(Inversiones!$J$156:$J$285,Inversiones!$D$156:$D$285,C290,Inversiones!$C$156:$C$285,"&gt;="&amp;INDEX(Inversiones!$F$30:$F$149,MATCH(C290,Inversiones!$B$30:$B$149,0)),Inversiones!$C$156:$C$285,"&lt;="&amp;D290,Inversiones!$E$156:$E$285,"Venta"))</f>
        <v/>
      </c>
      <c r="H290" s="1" t="str">
        <f>IF(E290=0,"",MAXIFS(Inversiones!$C$292:$C$921,Inversiones!$B$292:$B$921,C290,Inversiones!$C$292:$C$921,"&lt;="&amp;D290))</f>
        <v/>
      </c>
      <c r="I290" s="1" t="str">
        <f>IF(OR(E290=0,H290=0),"",SUMIFS(Inversiones!$D$292:$D$921,Inversiones!$B$292:$B$921,C290,Inversiones!$C$292:$C$921,H290))</f>
        <v/>
      </c>
      <c r="J290" s="1" t="str">
        <f t="shared" si="9"/>
        <v/>
      </c>
      <c r="K290" s="1">
        <f t="shared" si="10"/>
        <v>0</v>
      </c>
      <c r="L290" s="1"/>
      <c r="M290" s="1"/>
      <c r="N290" s="1"/>
      <c r="O290" s="1"/>
      <c r="P290" s="1"/>
      <c r="Q290" s="1"/>
      <c r="R290" s="1"/>
    </row>
    <row r="291" ht="24.75" customHeight="1">
      <c r="A291" s="1"/>
      <c r="B291" s="1" t="str">
        <f>IF(EDATE(DATE(YEAR(IF(COUNT(Inversiones!$F$30:$F$149)=0,'Configuración'!$C$8,MIN(Inversiones!$F$30:$F$149))),MONTH(IF(COUNT(Inversiones!$F$30:$F$149)=0,'Configuración'!$C$8,MIN(Inversiones!$F$30:$F$149))),1),INT(13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(13/MAX(1,COUNTA(Inversiones!$B$30:$B$149)))))</f>
        <v/>
      </c>
      <c r="C291" s="1" t="str">
        <f>IFERROR(__xludf.DUMMYFUNCTION("IF(B291="""","""",IFERROR(INDEX(FILTER(Inversiones!$B$30:$B$149,Inversiones!$B$30:$B$149&lt;&gt;""""),MOD(13,MAX(1,COUNTA(Inversiones!$B$30:$B$149)))+1),""""))"),"")</f>
        <v/>
      </c>
      <c r="D291" s="1" t="str">
        <f>IF(C291="","",MIN(EOMONTH(B291,0),'Configuración'!$C$8))</f>
        <v/>
      </c>
      <c r="E291" s="1">
        <f t="array" ref="E291">IF(C291="",0,IF(D291&lt;INDEX(Inversiones!$F$30:$F$149,MATCH(C291,Inversiones!$B$30:$B$149,0)),0,1))</f>
        <v>0</v>
      </c>
      <c r="F291" s="1" t="str">
        <f t="array" ref="F291">IF(E291=0,"",INDEX(Inversiones!$G$30:$G$149,MATCH(C291,Inversiones!$B$30:$B$149,0))+SUMIFS(Inversiones!$F$156:$F$285,Inversiones!$D$156:$D$285,C291,Inversiones!$C$156:$C$285,"&gt;="&amp;INDEX(Inversiones!$F$30:$F$149,MATCH(C291,Inversiones!$B$30:$B$149,0)),Inversiones!$C$156:$C$285,"&lt;="&amp;D291,Inversiones!$E$156:$E$285,"Compra")-SUMIFS(Inversiones!$F$156:$F$285,Inversiones!$D$156:$D$285,C291,Inversiones!$C$156:$C$285,"&gt;="&amp;INDEX(Inversiones!$F$30:$F$149,MATCH(C291,Inversiones!$B$30:$B$149,0)),Inversiones!$C$156:$C$285,"&lt;="&amp;D291,Inversiones!$E$156:$E$285,"Venta"))</f>
        <v/>
      </c>
      <c r="G291" s="1" t="str">
        <f t="array" ref="G291">IF(E291=0,"",INDEX(Inversiones!$H$30:$H$149,MATCH(C291,Inversiones!$B$30:$B$149,0))+SUMIFS(Inversiones!$J$156:$J$285,Inversiones!$D$156:$D$285,C291,Inversiones!$C$156:$C$285,"&gt;="&amp;INDEX(Inversiones!$F$30:$F$149,MATCH(C291,Inversiones!$B$30:$B$149,0)),Inversiones!$C$156:$C$285,"&lt;="&amp;D291,Inversiones!$E$156:$E$285,"Compra")-SUMIFS(Inversiones!$J$156:$J$285,Inversiones!$D$156:$D$285,C291,Inversiones!$C$156:$C$285,"&gt;="&amp;INDEX(Inversiones!$F$30:$F$149,MATCH(C291,Inversiones!$B$30:$B$149,0)),Inversiones!$C$156:$C$285,"&lt;="&amp;D291,Inversiones!$E$156:$E$285,"Venta"))</f>
        <v/>
      </c>
      <c r="H291" s="1" t="str">
        <f>IF(E291=0,"",MAXIFS(Inversiones!$C$292:$C$921,Inversiones!$B$292:$B$921,C291,Inversiones!$C$292:$C$921,"&lt;="&amp;D291))</f>
        <v/>
      </c>
      <c r="I291" s="1" t="str">
        <f>IF(OR(E291=0,H291=0),"",SUMIFS(Inversiones!$D$292:$D$921,Inversiones!$B$292:$B$921,C291,Inversiones!$C$292:$C$921,H291))</f>
        <v/>
      </c>
      <c r="J291" s="1" t="str">
        <f t="shared" si="9"/>
        <v/>
      </c>
      <c r="K291" s="1">
        <f t="shared" si="10"/>
        <v>0</v>
      </c>
      <c r="L291" s="1"/>
      <c r="M291" s="1"/>
      <c r="N291" s="1"/>
      <c r="O291" s="1"/>
      <c r="P291" s="1"/>
      <c r="Q291" s="1"/>
      <c r="R291" s="1"/>
    </row>
    <row r="292" ht="24.75" customHeight="1">
      <c r="A292" s="1"/>
      <c r="B292" s="1" t="str">
        <f>IF(EDATE(DATE(YEAR(IF(COUNT(Inversiones!$F$30:$F$149)=0,'Configuración'!$C$8,MIN(Inversiones!$F$30:$F$149))),MONTH(IF(COUNT(Inversiones!$F$30:$F$149)=0,'Configuración'!$C$8,MIN(Inversiones!$F$30:$F$149))),1),INT(14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(14/MAX(1,COUNTA(Inversiones!$B$30:$B$149)))))</f>
        <v/>
      </c>
      <c r="C292" s="1" t="str">
        <f>IFERROR(__xludf.DUMMYFUNCTION("IF(B292="""","""",IFERROR(INDEX(FILTER(Inversiones!$B$30:$B$149,Inversiones!$B$30:$B$149&lt;&gt;""""),MOD(14,MAX(1,COUNTA(Inversiones!$B$30:$B$149)))+1),""""))"),"")</f>
        <v/>
      </c>
      <c r="D292" s="1" t="str">
        <f>IF(C292="","",MIN(EOMONTH(B292,0),'Configuración'!$C$8))</f>
        <v/>
      </c>
      <c r="E292" s="1">
        <f t="array" ref="E292">IF(C292="",0,IF(D292&lt;INDEX(Inversiones!$F$30:$F$149,MATCH(C292,Inversiones!$B$30:$B$149,0)),0,1))</f>
        <v>0</v>
      </c>
      <c r="F292" s="1" t="str">
        <f t="array" ref="F292">IF(E292=0,"",INDEX(Inversiones!$G$30:$G$149,MATCH(C292,Inversiones!$B$30:$B$149,0))+SUMIFS(Inversiones!$F$156:$F$285,Inversiones!$D$156:$D$285,C292,Inversiones!$C$156:$C$285,"&gt;="&amp;INDEX(Inversiones!$F$30:$F$149,MATCH(C292,Inversiones!$B$30:$B$149,0)),Inversiones!$C$156:$C$285,"&lt;="&amp;D292,Inversiones!$E$156:$E$285,"Compra")-SUMIFS(Inversiones!$F$156:$F$285,Inversiones!$D$156:$D$285,C292,Inversiones!$C$156:$C$285,"&gt;="&amp;INDEX(Inversiones!$F$30:$F$149,MATCH(C292,Inversiones!$B$30:$B$149,0)),Inversiones!$C$156:$C$285,"&lt;="&amp;D292,Inversiones!$E$156:$E$285,"Venta"))</f>
        <v/>
      </c>
      <c r="G292" s="1" t="str">
        <f t="array" ref="G292">IF(E292=0,"",INDEX(Inversiones!$H$30:$H$149,MATCH(C292,Inversiones!$B$30:$B$149,0))+SUMIFS(Inversiones!$J$156:$J$285,Inversiones!$D$156:$D$285,C292,Inversiones!$C$156:$C$285,"&gt;="&amp;INDEX(Inversiones!$F$30:$F$149,MATCH(C292,Inversiones!$B$30:$B$149,0)),Inversiones!$C$156:$C$285,"&lt;="&amp;D292,Inversiones!$E$156:$E$285,"Compra")-SUMIFS(Inversiones!$J$156:$J$285,Inversiones!$D$156:$D$285,C292,Inversiones!$C$156:$C$285,"&gt;="&amp;INDEX(Inversiones!$F$30:$F$149,MATCH(C292,Inversiones!$B$30:$B$149,0)),Inversiones!$C$156:$C$285,"&lt;="&amp;D292,Inversiones!$E$156:$E$285,"Venta"))</f>
        <v/>
      </c>
      <c r="H292" s="1" t="str">
        <f>IF(E292=0,"",MAXIFS(Inversiones!$C$292:$C$921,Inversiones!$B$292:$B$921,C292,Inversiones!$C$292:$C$921,"&lt;="&amp;D292))</f>
        <v/>
      </c>
      <c r="I292" s="1" t="str">
        <f>IF(OR(E292=0,H292=0),"",SUMIFS(Inversiones!$D$292:$D$921,Inversiones!$B$292:$B$921,C292,Inversiones!$C$292:$C$921,H292))</f>
        <v/>
      </c>
      <c r="J292" s="1" t="str">
        <f t="shared" si="9"/>
        <v/>
      </c>
      <c r="K292" s="1">
        <f t="shared" si="10"/>
        <v>0</v>
      </c>
      <c r="L292" s="1"/>
      <c r="M292" s="1"/>
      <c r="N292" s="1"/>
      <c r="O292" s="1"/>
      <c r="P292" s="1"/>
      <c r="Q292" s="1"/>
      <c r="R292" s="1"/>
    </row>
    <row r="293" ht="24.75" customHeight="1">
      <c r="A293" s="1"/>
      <c r="B293" s="1" t="str">
        <f>IF(EDATE(DATE(YEAR(IF(COUNT(Inversiones!$F$30:$F$149)=0,'Configuración'!$C$8,MIN(Inversiones!$F$30:$F$149))),MONTH(IF(COUNT(Inversiones!$F$30:$F$149)=0,'Configuración'!$C$8,MIN(Inversiones!$F$30:$F$149))),1),INT(15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(15/MAX(1,COUNTA(Inversiones!$B$30:$B$149)))))</f>
        <v/>
      </c>
      <c r="C293" s="1" t="str">
        <f>IFERROR(__xludf.DUMMYFUNCTION("IF(B293="""","""",IFERROR(INDEX(FILTER(Inversiones!$B$30:$B$149,Inversiones!$B$30:$B$149&lt;&gt;""""),MOD(15,MAX(1,COUNTA(Inversiones!$B$30:$B$149)))+1),""""))"),"")</f>
        <v/>
      </c>
      <c r="D293" s="1" t="str">
        <f>IF(C293="","",MIN(EOMONTH(B293,0),'Configuración'!$C$8))</f>
        <v/>
      </c>
      <c r="E293" s="1">
        <f t="array" ref="E293">IF(C293="",0,IF(D293&lt;INDEX(Inversiones!$F$30:$F$149,MATCH(C293,Inversiones!$B$30:$B$149,0)),0,1))</f>
        <v>0</v>
      </c>
      <c r="F293" s="66" t="str">
        <f t="array" ref="F293">IF(E293=0,"",INDEX(Inversiones!$G$30:$G$149,MATCH(C293,Inversiones!$B$30:$B$149,0))+SUMIFS(Inversiones!$F$156:$F$285,Inversiones!$D$156:$D$285,C293,Inversiones!$C$156:$C$285,"&gt;="&amp;INDEX(Inversiones!$F$30:$F$149,MATCH(C293,Inversiones!$B$30:$B$149,0)),Inversiones!$C$156:$C$285,"&lt;="&amp;D293,Inversiones!$E$156:$E$285,"Compra")-SUMIFS(Inversiones!$F$156:$F$285,Inversiones!$D$156:$D$285,C293,Inversiones!$C$156:$C$285,"&gt;="&amp;INDEX(Inversiones!$F$30:$F$149,MATCH(C293,Inversiones!$B$30:$B$149,0)),Inversiones!$C$156:$C$285,"&lt;="&amp;D293,Inversiones!$E$156:$E$285,"Venta"))</f>
        <v/>
      </c>
      <c r="G293" s="39" t="str">
        <f t="array" ref="G293">IF(E293=0,"",INDEX(Inversiones!$H$30:$H$149,MATCH(C293,Inversiones!$B$30:$B$149,0))+SUMIFS(Inversiones!$J$156:$J$285,Inversiones!$D$156:$D$285,C293,Inversiones!$C$156:$C$285,"&gt;="&amp;INDEX(Inversiones!$F$30:$F$149,MATCH(C293,Inversiones!$B$30:$B$149,0)),Inversiones!$C$156:$C$285,"&lt;="&amp;D293,Inversiones!$E$156:$E$285,"Compra")-SUMIFS(Inversiones!$J$156:$J$285,Inversiones!$D$156:$D$285,C293,Inversiones!$C$156:$C$285,"&gt;="&amp;INDEX(Inversiones!$F$30:$F$149,MATCH(C293,Inversiones!$B$30:$B$149,0)),Inversiones!$C$156:$C$285,"&lt;="&amp;D293,Inversiones!$E$156:$E$285,"Venta"))</f>
        <v/>
      </c>
      <c r="H293" s="1" t="str">
        <f>IF(E293=0,"",MAXIFS(Inversiones!$C$292:$C$921,Inversiones!$B$292:$B$921,C293,Inversiones!$C$292:$C$921,"&lt;="&amp;D293))</f>
        <v/>
      </c>
      <c r="I293" s="1" t="str">
        <f>IF(OR(E293=0,H293=0),"",SUMIFS(Inversiones!$D$292:$D$921,Inversiones!$B$292:$B$921,C293,Inversiones!$C$292:$C$921,H293))</f>
        <v/>
      </c>
      <c r="J293" s="1" t="str">
        <f t="shared" si="9"/>
        <v/>
      </c>
      <c r="K293" s="1">
        <f t="shared" si="10"/>
        <v>0</v>
      </c>
      <c r="L293" s="1"/>
      <c r="M293" s="1"/>
      <c r="N293" s="1"/>
      <c r="O293" s="1"/>
      <c r="P293" s="1"/>
      <c r="Q293" s="1"/>
      <c r="R293" s="1"/>
    </row>
    <row r="294" ht="24.75" customHeight="1">
      <c r="A294" s="1"/>
      <c r="B294" s="1" t="str">
        <f>IF(EDATE(DATE(YEAR(IF(COUNT(Inversiones!$F$30:$F$149)=0,'Configuración'!$C$8,MIN(Inversiones!$F$30:$F$149))),MONTH(IF(COUNT(Inversiones!$F$30:$F$149)=0,'Configuración'!$C$8,MIN(Inversiones!$F$30:$F$149))),1),INT(16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(16/MAX(1,COUNTA(Inversiones!$B$30:$B$149)))))</f>
        <v/>
      </c>
      <c r="C294" s="1" t="str">
        <f>IFERROR(__xludf.DUMMYFUNCTION("IF(B294="""","""",IFERROR(INDEX(FILTER(Inversiones!$B$30:$B$149,Inversiones!$B$30:$B$149&lt;&gt;""""),MOD(16,MAX(1,COUNTA(Inversiones!$B$30:$B$149)))+1),""""))"),"")</f>
        <v/>
      </c>
      <c r="D294" s="1" t="str">
        <f>IF(C294="","",MIN(EOMONTH(B294,0),'Configuración'!$C$8))</f>
        <v/>
      </c>
      <c r="E294" s="1">
        <f t="array" ref="E294">IF(C294="",0,IF(D294&lt;INDEX(Inversiones!$F$30:$F$149,MATCH(C294,Inversiones!$B$30:$B$149,0)),0,1))</f>
        <v>0</v>
      </c>
      <c r="F294" s="1" t="str">
        <f t="array" ref="F294">IF(E294=0,"",INDEX(Inversiones!$G$30:$G$149,MATCH(C294,Inversiones!$B$30:$B$149,0))+SUMIFS(Inversiones!$F$156:$F$285,Inversiones!$D$156:$D$285,C294,Inversiones!$C$156:$C$285,"&gt;="&amp;INDEX(Inversiones!$F$30:$F$149,MATCH(C294,Inversiones!$B$30:$B$149,0)),Inversiones!$C$156:$C$285,"&lt;="&amp;D294,Inversiones!$E$156:$E$285,"Compra")-SUMIFS(Inversiones!$F$156:$F$285,Inversiones!$D$156:$D$285,C294,Inversiones!$C$156:$C$285,"&gt;="&amp;INDEX(Inversiones!$F$30:$F$149,MATCH(C294,Inversiones!$B$30:$B$149,0)),Inversiones!$C$156:$C$285,"&lt;="&amp;D294,Inversiones!$E$156:$E$285,"Venta"))</f>
        <v/>
      </c>
      <c r="G294" s="1" t="str">
        <f t="array" ref="G294">IF(E294=0,"",INDEX(Inversiones!$H$30:$H$149,MATCH(C294,Inversiones!$B$30:$B$149,0))+SUMIFS(Inversiones!$J$156:$J$285,Inversiones!$D$156:$D$285,C294,Inversiones!$C$156:$C$285,"&gt;="&amp;INDEX(Inversiones!$F$30:$F$149,MATCH(C294,Inversiones!$B$30:$B$149,0)),Inversiones!$C$156:$C$285,"&lt;="&amp;D294,Inversiones!$E$156:$E$285,"Compra")-SUMIFS(Inversiones!$J$156:$J$285,Inversiones!$D$156:$D$285,C294,Inversiones!$C$156:$C$285,"&gt;="&amp;INDEX(Inversiones!$F$30:$F$149,MATCH(C294,Inversiones!$B$30:$B$149,0)),Inversiones!$C$156:$C$285,"&lt;="&amp;D294,Inversiones!$E$156:$E$285,"Venta"))</f>
        <v/>
      </c>
      <c r="H294" s="1" t="str">
        <f>IF(E294=0,"",MAXIFS(Inversiones!$C$292:$C$921,Inversiones!$B$292:$B$921,C294,Inversiones!$C$292:$C$921,"&lt;="&amp;D294))</f>
        <v/>
      </c>
      <c r="I294" s="1" t="str">
        <f>IF(OR(E294=0,H294=0),"",SUMIFS(Inversiones!$D$292:$D$921,Inversiones!$B$292:$B$921,C294,Inversiones!$C$292:$C$921,H294))</f>
        <v/>
      </c>
      <c r="J294" s="1" t="str">
        <f t="shared" si="9"/>
        <v/>
      </c>
      <c r="K294" s="1">
        <f t="shared" si="10"/>
        <v>0</v>
      </c>
      <c r="L294" s="1"/>
      <c r="M294" s="1"/>
      <c r="N294" s="1"/>
      <c r="O294" s="1"/>
      <c r="P294" s="1"/>
      <c r="Q294" s="1"/>
      <c r="R294" s="1"/>
    </row>
    <row r="295" ht="24.75" customHeight="1">
      <c r="A295" s="1"/>
      <c r="B295" s="1" t="str">
        <f>IF(EDATE(DATE(YEAR(IF(COUNT(Inversiones!$F$30:$F$149)=0,'Configuración'!$C$8,MIN(Inversiones!$F$30:$F$149))),MONTH(IF(COUNT(Inversiones!$F$30:$F$149)=0,'Configuración'!$C$8,MIN(Inversiones!$F$30:$F$149))),1),INT(17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(17/MAX(1,COUNTA(Inversiones!$B$30:$B$149)))))</f>
        <v/>
      </c>
      <c r="C295" s="1" t="str">
        <f>IFERROR(__xludf.DUMMYFUNCTION("IF(B295="""","""",IFERROR(INDEX(FILTER(Inversiones!$B$30:$B$149,Inversiones!$B$30:$B$149&lt;&gt;""""),MOD(17,MAX(1,COUNTA(Inversiones!$B$30:$B$149)))+1),""""))"),"")</f>
        <v/>
      </c>
      <c r="D295" s="1" t="str">
        <f>IF(C295="","",MIN(EOMONTH(B295,0),'Configuración'!$C$8))</f>
        <v/>
      </c>
      <c r="E295" s="1">
        <f t="array" ref="E295">IF(C295="",0,IF(D295&lt;INDEX(Inversiones!$F$30:$F$149,MATCH(C295,Inversiones!$B$30:$B$149,0)),0,1))</f>
        <v>0</v>
      </c>
      <c r="F295" s="1" t="str">
        <f t="array" ref="F295">IF(E295=0,"",INDEX(Inversiones!$G$30:$G$149,MATCH(C295,Inversiones!$B$30:$B$149,0))+SUMIFS(Inversiones!$F$156:$F$285,Inversiones!$D$156:$D$285,C295,Inversiones!$C$156:$C$285,"&gt;="&amp;INDEX(Inversiones!$F$30:$F$149,MATCH(C295,Inversiones!$B$30:$B$149,0)),Inversiones!$C$156:$C$285,"&lt;="&amp;D295,Inversiones!$E$156:$E$285,"Compra")-SUMIFS(Inversiones!$F$156:$F$285,Inversiones!$D$156:$D$285,C295,Inversiones!$C$156:$C$285,"&gt;="&amp;INDEX(Inversiones!$F$30:$F$149,MATCH(C295,Inversiones!$B$30:$B$149,0)),Inversiones!$C$156:$C$285,"&lt;="&amp;D295,Inversiones!$E$156:$E$285,"Venta"))</f>
        <v/>
      </c>
      <c r="G295" s="1" t="str">
        <f t="array" ref="G295">IF(E295=0,"",INDEX(Inversiones!$H$30:$H$149,MATCH(C295,Inversiones!$B$30:$B$149,0))+SUMIFS(Inversiones!$J$156:$J$285,Inversiones!$D$156:$D$285,C295,Inversiones!$C$156:$C$285,"&gt;="&amp;INDEX(Inversiones!$F$30:$F$149,MATCH(C295,Inversiones!$B$30:$B$149,0)),Inversiones!$C$156:$C$285,"&lt;="&amp;D295,Inversiones!$E$156:$E$285,"Compra")-SUMIFS(Inversiones!$J$156:$J$285,Inversiones!$D$156:$D$285,C295,Inversiones!$C$156:$C$285,"&gt;="&amp;INDEX(Inversiones!$F$30:$F$149,MATCH(C295,Inversiones!$B$30:$B$149,0)),Inversiones!$C$156:$C$285,"&lt;="&amp;D295,Inversiones!$E$156:$E$285,"Venta"))</f>
        <v/>
      </c>
      <c r="H295" s="1" t="str">
        <f>IF(E295=0,"",MAXIFS(Inversiones!$C$292:$C$921,Inversiones!$B$292:$B$921,C295,Inversiones!$C$292:$C$921,"&lt;="&amp;D295))</f>
        <v/>
      </c>
      <c r="I295" s="1" t="str">
        <f>IF(OR(E295=0,H295=0),"",SUMIFS(Inversiones!$D$292:$D$921,Inversiones!$B$292:$B$921,C295,Inversiones!$C$292:$C$921,H295))</f>
        <v/>
      </c>
      <c r="J295" s="1" t="str">
        <f t="shared" si="9"/>
        <v/>
      </c>
      <c r="K295" s="1">
        <f t="shared" si="10"/>
        <v>0</v>
      </c>
      <c r="L295" s="1"/>
      <c r="M295" s="1"/>
      <c r="N295" s="1"/>
      <c r="O295" s="1"/>
      <c r="P295" s="1"/>
      <c r="Q295" s="1"/>
      <c r="R295" s="1"/>
    </row>
    <row r="296" ht="24.75" customHeight="1">
      <c r="A296" s="1"/>
      <c r="B296" s="1" t="str">
        <f>IF(EDATE(DATE(YEAR(IF(COUNT(Inversiones!$F$30:$F$149)=0,'Configuración'!$C$8,MIN(Inversiones!$F$30:$F$149))),MONTH(IF(COUNT(Inversiones!$F$30:$F$149)=0,'Configuración'!$C$8,MIN(Inversiones!$F$30:$F$149))),1),INT(18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(18/MAX(1,COUNTA(Inversiones!$B$30:$B$149)))))</f>
        <v/>
      </c>
      <c r="C296" s="1" t="str">
        <f>IFERROR(__xludf.DUMMYFUNCTION("IF(B296="""","""",IFERROR(INDEX(FILTER(Inversiones!$B$30:$B$149,Inversiones!$B$30:$B$149&lt;&gt;""""),MOD(18,MAX(1,COUNTA(Inversiones!$B$30:$B$149)))+1),""""))"),"")</f>
        <v/>
      </c>
      <c r="D296" s="1" t="str">
        <f>IF(C296="","",MIN(EOMONTH(B296,0),'Configuración'!$C$8))</f>
        <v/>
      </c>
      <c r="E296" s="1">
        <f t="array" ref="E296">IF(C296="",0,IF(D296&lt;INDEX(Inversiones!$F$30:$F$149,MATCH(C296,Inversiones!$B$30:$B$149,0)),0,1))</f>
        <v>0</v>
      </c>
      <c r="F296" s="66" t="str">
        <f t="array" ref="F296">IF(E296=0,"",INDEX(Inversiones!$G$30:$G$149,MATCH(C296,Inversiones!$B$30:$B$149,0))+SUMIFS(Inversiones!$F$156:$F$285,Inversiones!$D$156:$D$285,C296,Inversiones!$C$156:$C$285,"&gt;="&amp;INDEX(Inversiones!$F$30:$F$149,MATCH(C296,Inversiones!$B$30:$B$149,0)),Inversiones!$C$156:$C$285,"&lt;="&amp;D296,Inversiones!$E$156:$E$285,"Compra")-SUMIFS(Inversiones!$F$156:$F$285,Inversiones!$D$156:$D$285,C296,Inversiones!$C$156:$C$285,"&gt;="&amp;INDEX(Inversiones!$F$30:$F$149,MATCH(C296,Inversiones!$B$30:$B$149,0)),Inversiones!$C$156:$C$285,"&lt;="&amp;D296,Inversiones!$E$156:$E$285,"Venta"))</f>
        <v/>
      </c>
      <c r="G296" s="39" t="str">
        <f t="array" ref="G296">IF(E296=0,"",INDEX(Inversiones!$H$30:$H$149,MATCH(C296,Inversiones!$B$30:$B$149,0))+SUMIFS(Inversiones!$J$156:$J$285,Inversiones!$D$156:$D$285,C296,Inversiones!$C$156:$C$285,"&gt;="&amp;INDEX(Inversiones!$F$30:$F$149,MATCH(C296,Inversiones!$B$30:$B$149,0)),Inversiones!$C$156:$C$285,"&lt;="&amp;D296,Inversiones!$E$156:$E$285,"Compra")-SUMIFS(Inversiones!$J$156:$J$285,Inversiones!$D$156:$D$285,C296,Inversiones!$C$156:$C$285,"&gt;="&amp;INDEX(Inversiones!$F$30:$F$149,MATCH(C296,Inversiones!$B$30:$B$149,0)),Inversiones!$C$156:$C$285,"&lt;="&amp;D296,Inversiones!$E$156:$E$285,"Venta"))</f>
        <v/>
      </c>
      <c r="H296" s="1" t="str">
        <f>IF(E296=0,"",MAXIFS(Inversiones!$C$292:$C$921,Inversiones!$B$292:$B$921,C296,Inversiones!$C$292:$C$921,"&lt;="&amp;D296))</f>
        <v/>
      </c>
      <c r="I296" s="1" t="str">
        <f>IF(OR(E296=0,H296=0),"",SUMIFS(Inversiones!$D$292:$D$921,Inversiones!$B$292:$B$921,C296,Inversiones!$C$292:$C$921,H296))</f>
        <v/>
      </c>
      <c r="J296" s="1" t="str">
        <f t="shared" si="9"/>
        <v/>
      </c>
      <c r="K296" s="1">
        <f t="shared" si="10"/>
        <v>0</v>
      </c>
      <c r="L296" s="1"/>
      <c r="M296" s="1"/>
      <c r="N296" s="1"/>
      <c r="O296" s="1"/>
      <c r="P296" s="1"/>
      <c r="Q296" s="1"/>
      <c r="R296" s="1"/>
    </row>
    <row r="297" ht="24.75" customHeight="1">
      <c r="A297" s="1"/>
      <c r="B297" s="1" t="str">
        <f>IF(EDATE(DATE(YEAR(IF(COUNT(Inversiones!$F$30:$F$149)=0,'Configuración'!$C$8,MIN(Inversiones!$F$30:$F$149))),MONTH(IF(COUNT(Inversiones!$F$30:$F$149)=0,'Configuración'!$C$8,MIN(Inversiones!$F$30:$F$149))),1),INT(19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(19/MAX(1,COUNTA(Inversiones!$B$30:$B$149)))))</f>
        <v/>
      </c>
      <c r="C297" s="1" t="str">
        <f>IFERROR(__xludf.DUMMYFUNCTION("IF(B297="""","""",IFERROR(INDEX(FILTER(Inversiones!$B$30:$B$149,Inversiones!$B$30:$B$149&lt;&gt;""""),MOD(19,MAX(1,COUNTA(Inversiones!$B$30:$B$149)))+1),""""))"),"")</f>
        <v/>
      </c>
      <c r="D297" s="1" t="str">
        <f>IF(C297="","",MIN(EOMONTH(B297,0),'Configuración'!$C$8))</f>
        <v/>
      </c>
      <c r="E297" s="1">
        <f t="array" ref="E297">IF(C297="",0,IF(D297&lt;INDEX(Inversiones!$F$30:$F$149,MATCH(C297,Inversiones!$B$30:$B$149,0)),0,1))</f>
        <v>0</v>
      </c>
      <c r="F297" s="1" t="str">
        <f t="array" ref="F297">IF(E297=0,"",INDEX(Inversiones!$G$30:$G$149,MATCH(C297,Inversiones!$B$30:$B$149,0))+SUMIFS(Inversiones!$F$156:$F$285,Inversiones!$D$156:$D$285,C297,Inversiones!$C$156:$C$285,"&gt;="&amp;INDEX(Inversiones!$F$30:$F$149,MATCH(C297,Inversiones!$B$30:$B$149,0)),Inversiones!$C$156:$C$285,"&lt;="&amp;D297,Inversiones!$E$156:$E$285,"Compra")-SUMIFS(Inversiones!$F$156:$F$285,Inversiones!$D$156:$D$285,C297,Inversiones!$C$156:$C$285,"&gt;="&amp;INDEX(Inversiones!$F$30:$F$149,MATCH(C297,Inversiones!$B$30:$B$149,0)),Inversiones!$C$156:$C$285,"&lt;="&amp;D297,Inversiones!$E$156:$E$285,"Venta"))</f>
        <v/>
      </c>
      <c r="G297" s="1" t="str">
        <f t="array" ref="G297">IF(E297=0,"",INDEX(Inversiones!$H$30:$H$149,MATCH(C297,Inversiones!$B$30:$B$149,0))+SUMIFS(Inversiones!$J$156:$J$285,Inversiones!$D$156:$D$285,C297,Inversiones!$C$156:$C$285,"&gt;="&amp;INDEX(Inversiones!$F$30:$F$149,MATCH(C297,Inversiones!$B$30:$B$149,0)),Inversiones!$C$156:$C$285,"&lt;="&amp;D297,Inversiones!$E$156:$E$285,"Compra")-SUMIFS(Inversiones!$J$156:$J$285,Inversiones!$D$156:$D$285,C297,Inversiones!$C$156:$C$285,"&gt;="&amp;INDEX(Inversiones!$F$30:$F$149,MATCH(C297,Inversiones!$B$30:$B$149,0)),Inversiones!$C$156:$C$285,"&lt;="&amp;D297,Inversiones!$E$156:$E$285,"Venta"))</f>
        <v/>
      </c>
      <c r="H297" s="1" t="str">
        <f>IF(E297=0,"",MAXIFS(Inversiones!$C$292:$C$921,Inversiones!$B$292:$B$921,C297,Inversiones!$C$292:$C$921,"&lt;="&amp;D297))</f>
        <v/>
      </c>
      <c r="I297" s="1" t="str">
        <f>IF(OR(E297=0,H297=0),"",SUMIFS(Inversiones!$D$292:$D$921,Inversiones!$B$292:$B$921,C297,Inversiones!$C$292:$C$921,H297))</f>
        <v/>
      </c>
      <c r="J297" s="1" t="str">
        <f t="shared" si="9"/>
        <v/>
      </c>
      <c r="K297" s="1">
        <f t="shared" si="10"/>
        <v>0</v>
      </c>
      <c r="L297" s="1"/>
      <c r="M297" s="1"/>
      <c r="N297" s="1"/>
      <c r="O297" s="1"/>
      <c r="P297" s="1"/>
      <c r="Q297" s="1"/>
      <c r="R297" s="1"/>
    </row>
    <row r="298" ht="24.75" customHeight="1">
      <c r="A298" s="1"/>
      <c r="B298" s="1" t="str">
        <f>IF(EDATE(DATE(YEAR(IF(COUNT(Inversiones!$F$30:$F$149)=0,'Configuración'!$C$8,MIN(Inversiones!$F$30:$F$149))),MONTH(IF(COUNT(Inversiones!$F$30:$F$149)=0,'Configuración'!$C$8,MIN(Inversiones!$F$30:$F$149))),1),INT(20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(20/MAX(1,COUNTA(Inversiones!$B$30:$B$149)))))</f>
        <v/>
      </c>
      <c r="C298" s="1" t="str">
        <f>IFERROR(__xludf.DUMMYFUNCTION("IF(B298="""","""",IFERROR(INDEX(FILTER(Inversiones!$B$30:$B$149,Inversiones!$B$30:$B$149&lt;&gt;""""),MOD(20,MAX(1,COUNTA(Inversiones!$B$30:$B$149)))+1),""""))"),"")</f>
        <v/>
      </c>
      <c r="D298" s="1" t="str">
        <f>IF(C298="","",MIN(EOMONTH(B298,0),'Configuración'!$C$8))</f>
        <v/>
      </c>
      <c r="E298" s="1">
        <f t="array" ref="E298">IF(C298="",0,IF(D298&lt;INDEX(Inversiones!$F$30:$F$149,MATCH(C298,Inversiones!$B$30:$B$149,0)),0,1))</f>
        <v>0</v>
      </c>
      <c r="F298" s="1" t="str">
        <f t="array" ref="F298">IF(E298=0,"",INDEX(Inversiones!$G$30:$G$149,MATCH(C298,Inversiones!$B$30:$B$149,0))+SUMIFS(Inversiones!$F$156:$F$285,Inversiones!$D$156:$D$285,C298,Inversiones!$C$156:$C$285,"&gt;="&amp;INDEX(Inversiones!$F$30:$F$149,MATCH(C298,Inversiones!$B$30:$B$149,0)),Inversiones!$C$156:$C$285,"&lt;="&amp;D298,Inversiones!$E$156:$E$285,"Compra")-SUMIFS(Inversiones!$F$156:$F$285,Inversiones!$D$156:$D$285,C298,Inversiones!$C$156:$C$285,"&gt;="&amp;INDEX(Inversiones!$F$30:$F$149,MATCH(C298,Inversiones!$B$30:$B$149,0)),Inversiones!$C$156:$C$285,"&lt;="&amp;D298,Inversiones!$E$156:$E$285,"Venta"))</f>
        <v/>
      </c>
      <c r="G298" s="1" t="str">
        <f t="array" ref="G298">IF(E298=0,"",INDEX(Inversiones!$H$30:$H$149,MATCH(C298,Inversiones!$B$30:$B$149,0))+SUMIFS(Inversiones!$J$156:$J$285,Inversiones!$D$156:$D$285,C298,Inversiones!$C$156:$C$285,"&gt;="&amp;INDEX(Inversiones!$F$30:$F$149,MATCH(C298,Inversiones!$B$30:$B$149,0)),Inversiones!$C$156:$C$285,"&lt;="&amp;D298,Inversiones!$E$156:$E$285,"Compra")-SUMIFS(Inversiones!$J$156:$J$285,Inversiones!$D$156:$D$285,C298,Inversiones!$C$156:$C$285,"&gt;="&amp;INDEX(Inversiones!$F$30:$F$149,MATCH(C298,Inversiones!$B$30:$B$149,0)),Inversiones!$C$156:$C$285,"&lt;="&amp;D298,Inversiones!$E$156:$E$285,"Venta"))</f>
        <v/>
      </c>
      <c r="H298" s="1" t="str">
        <f>IF(E298=0,"",MAXIFS(Inversiones!$C$292:$C$921,Inversiones!$B$292:$B$921,C298,Inversiones!$C$292:$C$921,"&lt;="&amp;D298))</f>
        <v/>
      </c>
      <c r="I298" s="1" t="str">
        <f>IF(OR(E298=0,H298=0),"",SUMIFS(Inversiones!$D$292:$D$921,Inversiones!$B$292:$B$921,C298,Inversiones!$C$292:$C$921,H298))</f>
        <v/>
      </c>
      <c r="J298" s="1" t="str">
        <f t="shared" si="9"/>
        <v/>
      </c>
      <c r="K298" s="1">
        <f t="shared" si="10"/>
        <v>0</v>
      </c>
      <c r="L298" s="1"/>
      <c r="M298" s="1"/>
      <c r="N298" s="1"/>
      <c r="O298" s="1"/>
      <c r="P298" s="1"/>
      <c r="Q298" s="1"/>
      <c r="R298" s="1"/>
    </row>
    <row r="299" ht="24.75" customHeight="1">
      <c r="A299" s="1"/>
      <c r="B299" s="1" t="str">
        <f>IF(EDATE(DATE(YEAR(IF(COUNT(Inversiones!$F$30:$F$149)=0,'Configuración'!$C$8,MIN(Inversiones!$F$30:$F$149))),MONTH(IF(COUNT(Inversiones!$F$30:$F$149)=0,'Configuración'!$C$8,MIN(Inversiones!$F$30:$F$149))),1),INT(21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(21/MAX(1,COUNTA(Inversiones!$B$30:$B$149)))))</f>
        <v/>
      </c>
      <c r="C299" s="1" t="str">
        <f>IFERROR(__xludf.DUMMYFUNCTION("IF(B299="""","""",IFERROR(INDEX(FILTER(Inversiones!$B$30:$B$149,Inversiones!$B$30:$B$149&lt;&gt;""""),MOD(21,MAX(1,COUNTA(Inversiones!$B$30:$B$149)))+1),""""))"),"")</f>
        <v/>
      </c>
      <c r="D299" s="1" t="str">
        <f>IF(C299="","",MIN(EOMONTH(B299,0),'Configuración'!$C$8))</f>
        <v/>
      </c>
      <c r="E299" s="1">
        <f t="array" ref="E299">IF(C299="",0,IF(D299&lt;INDEX(Inversiones!$F$30:$F$149,MATCH(C299,Inversiones!$B$30:$B$149,0)),0,1))</f>
        <v>0</v>
      </c>
      <c r="F299" s="66" t="str">
        <f t="array" ref="F299">IF(E299=0,"",INDEX(Inversiones!$G$30:$G$149,MATCH(C299,Inversiones!$B$30:$B$149,0))+SUMIFS(Inversiones!$F$156:$F$285,Inversiones!$D$156:$D$285,C299,Inversiones!$C$156:$C$285,"&gt;="&amp;INDEX(Inversiones!$F$30:$F$149,MATCH(C299,Inversiones!$B$30:$B$149,0)),Inversiones!$C$156:$C$285,"&lt;="&amp;D299,Inversiones!$E$156:$E$285,"Compra")-SUMIFS(Inversiones!$F$156:$F$285,Inversiones!$D$156:$D$285,C299,Inversiones!$C$156:$C$285,"&gt;="&amp;INDEX(Inversiones!$F$30:$F$149,MATCH(C299,Inversiones!$B$30:$B$149,0)),Inversiones!$C$156:$C$285,"&lt;="&amp;D299,Inversiones!$E$156:$E$285,"Venta"))</f>
        <v/>
      </c>
      <c r="G299" s="39" t="str">
        <f t="array" ref="G299">IF(E299=0,"",INDEX(Inversiones!$H$30:$H$149,MATCH(C299,Inversiones!$B$30:$B$149,0))+SUMIFS(Inversiones!$J$156:$J$285,Inversiones!$D$156:$D$285,C299,Inversiones!$C$156:$C$285,"&gt;="&amp;INDEX(Inversiones!$F$30:$F$149,MATCH(C299,Inversiones!$B$30:$B$149,0)),Inversiones!$C$156:$C$285,"&lt;="&amp;D299,Inversiones!$E$156:$E$285,"Compra")-SUMIFS(Inversiones!$J$156:$J$285,Inversiones!$D$156:$D$285,C299,Inversiones!$C$156:$C$285,"&gt;="&amp;INDEX(Inversiones!$F$30:$F$149,MATCH(C299,Inversiones!$B$30:$B$149,0)),Inversiones!$C$156:$C$285,"&lt;="&amp;D299,Inversiones!$E$156:$E$285,"Venta"))</f>
        <v/>
      </c>
      <c r="H299" s="1" t="str">
        <f>IF(E299=0,"",MAXIFS(Inversiones!$C$292:$C$921,Inversiones!$B$292:$B$921,C299,Inversiones!$C$292:$C$921,"&lt;="&amp;D299))</f>
        <v/>
      </c>
      <c r="I299" s="1" t="str">
        <f>IF(OR(E299=0,H299=0),"",SUMIFS(Inversiones!$D$292:$D$921,Inversiones!$B$292:$B$921,C299,Inversiones!$C$292:$C$921,H299))</f>
        <v/>
      </c>
      <c r="J299" s="1" t="str">
        <f t="shared" si="9"/>
        <v/>
      </c>
      <c r="K299" s="1">
        <f t="shared" si="10"/>
        <v>0</v>
      </c>
      <c r="L299" s="1"/>
      <c r="M299" s="1"/>
      <c r="N299" s="1"/>
      <c r="O299" s="1"/>
      <c r="P299" s="1"/>
      <c r="Q299" s="1"/>
      <c r="R299" s="1"/>
    </row>
    <row r="300" ht="24.75" customHeight="1">
      <c r="A300" s="1"/>
      <c r="B300" s="1" t="str">
        <f>IF(EDATE(DATE(YEAR(IF(COUNT(Inversiones!$F$30:$F$149)=0,'Configuración'!$C$8,MIN(Inversiones!$F$30:$F$149))),MONTH(IF(COUNT(Inversiones!$F$30:$F$149)=0,'Configuración'!$C$8,MIN(Inversiones!$F$30:$F$149))),1),INT(22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(22/MAX(1,COUNTA(Inversiones!$B$30:$B$149)))))</f>
        <v/>
      </c>
      <c r="C300" s="1" t="str">
        <f>IFERROR(__xludf.DUMMYFUNCTION("IF(B300="""","""",IFERROR(INDEX(FILTER(Inversiones!$B$30:$B$149,Inversiones!$B$30:$B$149&lt;&gt;""""),MOD(22,MAX(1,COUNTA(Inversiones!$B$30:$B$149)))+1),""""))"),"")</f>
        <v/>
      </c>
      <c r="D300" s="1" t="str">
        <f>IF(C300="","",MIN(EOMONTH(B300,0),'Configuración'!$C$8))</f>
        <v/>
      </c>
      <c r="E300" s="1">
        <f t="array" ref="E300">IF(C300="",0,IF(D300&lt;INDEX(Inversiones!$F$30:$F$149,MATCH(C300,Inversiones!$B$30:$B$149,0)),0,1))</f>
        <v>0</v>
      </c>
      <c r="F300" s="1" t="str">
        <f t="array" ref="F300">IF(E300=0,"",INDEX(Inversiones!$G$30:$G$149,MATCH(C300,Inversiones!$B$30:$B$149,0))+SUMIFS(Inversiones!$F$156:$F$285,Inversiones!$D$156:$D$285,C300,Inversiones!$C$156:$C$285,"&gt;="&amp;INDEX(Inversiones!$F$30:$F$149,MATCH(C300,Inversiones!$B$30:$B$149,0)),Inversiones!$C$156:$C$285,"&lt;="&amp;D300,Inversiones!$E$156:$E$285,"Compra")-SUMIFS(Inversiones!$F$156:$F$285,Inversiones!$D$156:$D$285,C300,Inversiones!$C$156:$C$285,"&gt;="&amp;INDEX(Inversiones!$F$30:$F$149,MATCH(C300,Inversiones!$B$30:$B$149,0)),Inversiones!$C$156:$C$285,"&lt;="&amp;D300,Inversiones!$E$156:$E$285,"Venta"))</f>
        <v/>
      </c>
      <c r="G300" s="1" t="str">
        <f t="array" ref="G300">IF(E300=0,"",INDEX(Inversiones!$H$30:$H$149,MATCH(C300,Inversiones!$B$30:$B$149,0))+SUMIFS(Inversiones!$J$156:$J$285,Inversiones!$D$156:$D$285,C300,Inversiones!$C$156:$C$285,"&gt;="&amp;INDEX(Inversiones!$F$30:$F$149,MATCH(C300,Inversiones!$B$30:$B$149,0)),Inversiones!$C$156:$C$285,"&lt;="&amp;D300,Inversiones!$E$156:$E$285,"Compra")-SUMIFS(Inversiones!$J$156:$J$285,Inversiones!$D$156:$D$285,C300,Inversiones!$C$156:$C$285,"&gt;="&amp;INDEX(Inversiones!$F$30:$F$149,MATCH(C300,Inversiones!$B$30:$B$149,0)),Inversiones!$C$156:$C$285,"&lt;="&amp;D300,Inversiones!$E$156:$E$285,"Venta"))</f>
        <v/>
      </c>
      <c r="H300" s="1" t="str">
        <f>IF(E300=0,"",MAXIFS(Inversiones!$C$292:$C$921,Inversiones!$B$292:$B$921,C300,Inversiones!$C$292:$C$921,"&lt;="&amp;D300))</f>
        <v/>
      </c>
      <c r="I300" s="1" t="str">
        <f>IF(OR(E300=0,H300=0),"",SUMIFS(Inversiones!$D$292:$D$921,Inversiones!$B$292:$B$921,C300,Inversiones!$C$292:$C$921,H300))</f>
        <v/>
      </c>
      <c r="J300" s="1" t="str">
        <f t="shared" si="9"/>
        <v/>
      </c>
      <c r="K300" s="1">
        <f t="shared" si="10"/>
        <v>0</v>
      </c>
      <c r="L300" s="1"/>
      <c r="M300" s="1"/>
      <c r="N300" s="1"/>
      <c r="O300" s="1"/>
      <c r="P300" s="1"/>
      <c r="Q300" s="1"/>
      <c r="R300" s="1"/>
    </row>
    <row r="301" ht="24.75" customHeight="1">
      <c r="A301" s="1"/>
      <c r="B301" s="1" t="str">
        <f>IF(EDATE(DATE(YEAR(IF(COUNT(Inversiones!$F$30:$F$149)=0,'Configuración'!$C$8,MIN(Inversiones!$F$30:$F$149))),MONTH(IF(COUNT(Inversiones!$F$30:$F$149)=0,'Configuración'!$C$8,MIN(Inversiones!$F$30:$F$149))),1),INT(23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(23/MAX(1,COUNTA(Inversiones!$B$30:$B$149)))))</f>
        <v/>
      </c>
      <c r="C301" s="1" t="str">
        <f>IFERROR(__xludf.DUMMYFUNCTION("IF(B301="""","""",IFERROR(INDEX(FILTER(Inversiones!$B$30:$B$149,Inversiones!$B$30:$B$149&lt;&gt;""""),MOD(23,MAX(1,COUNTA(Inversiones!$B$30:$B$149)))+1),""""))"),"")</f>
        <v/>
      </c>
      <c r="D301" s="1" t="str">
        <f>IF(C301="","",MIN(EOMONTH(B301,0),'Configuración'!$C$8))</f>
        <v/>
      </c>
      <c r="E301" s="1">
        <f t="array" ref="E301">IF(C301="",0,IF(D301&lt;INDEX(Inversiones!$F$30:$F$149,MATCH(C301,Inversiones!$B$30:$B$149,0)),0,1))</f>
        <v>0</v>
      </c>
      <c r="F301" s="1" t="str">
        <f t="array" ref="F301">IF(E301=0,"",INDEX(Inversiones!$G$30:$G$149,MATCH(C301,Inversiones!$B$30:$B$149,0))+SUMIFS(Inversiones!$F$156:$F$285,Inversiones!$D$156:$D$285,C301,Inversiones!$C$156:$C$285,"&gt;="&amp;INDEX(Inversiones!$F$30:$F$149,MATCH(C301,Inversiones!$B$30:$B$149,0)),Inversiones!$C$156:$C$285,"&lt;="&amp;D301,Inversiones!$E$156:$E$285,"Compra")-SUMIFS(Inversiones!$F$156:$F$285,Inversiones!$D$156:$D$285,C301,Inversiones!$C$156:$C$285,"&gt;="&amp;INDEX(Inversiones!$F$30:$F$149,MATCH(C301,Inversiones!$B$30:$B$149,0)),Inversiones!$C$156:$C$285,"&lt;="&amp;D301,Inversiones!$E$156:$E$285,"Venta"))</f>
        <v/>
      </c>
      <c r="G301" s="1" t="str">
        <f t="array" ref="G301">IF(E301=0,"",INDEX(Inversiones!$H$30:$H$149,MATCH(C301,Inversiones!$B$30:$B$149,0))+SUMIFS(Inversiones!$J$156:$J$285,Inversiones!$D$156:$D$285,C301,Inversiones!$C$156:$C$285,"&gt;="&amp;INDEX(Inversiones!$F$30:$F$149,MATCH(C301,Inversiones!$B$30:$B$149,0)),Inversiones!$C$156:$C$285,"&lt;="&amp;D301,Inversiones!$E$156:$E$285,"Compra")-SUMIFS(Inversiones!$J$156:$J$285,Inversiones!$D$156:$D$285,C301,Inversiones!$C$156:$C$285,"&gt;="&amp;INDEX(Inversiones!$F$30:$F$149,MATCH(C301,Inversiones!$B$30:$B$149,0)),Inversiones!$C$156:$C$285,"&lt;="&amp;D301,Inversiones!$E$156:$E$285,"Venta"))</f>
        <v/>
      </c>
      <c r="H301" s="1" t="str">
        <f>IF(E301=0,"",MAXIFS(Inversiones!$C$292:$C$921,Inversiones!$B$292:$B$921,C301,Inversiones!$C$292:$C$921,"&lt;="&amp;D301))</f>
        <v/>
      </c>
      <c r="I301" s="1" t="str">
        <f>IF(OR(E301=0,H301=0),"",SUMIFS(Inversiones!$D$292:$D$921,Inversiones!$B$292:$B$921,C301,Inversiones!$C$292:$C$921,H301))</f>
        <v/>
      </c>
      <c r="J301" s="1" t="str">
        <f t="shared" si="9"/>
        <v/>
      </c>
      <c r="K301" s="1">
        <f t="shared" si="10"/>
        <v>0</v>
      </c>
      <c r="L301" s="1"/>
      <c r="M301" s="1"/>
      <c r="N301" s="1"/>
      <c r="O301" s="1"/>
      <c r="P301" s="1"/>
      <c r="Q301" s="1"/>
      <c r="R301" s="1"/>
    </row>
    <row r="302" ht="24.75" customHeight="1">
      <c r="A302" s="1"/>
      <c r="B302" s="1" t="str">
        <f>IF(EDATE(DATE(YEAR(IF(COUNT(Inversiones!$F$30:$F$149)=0,'Configuración'!$C$8,MIN(Inversiones!$F$30:$F$149))),MONTH(IF(COUNT(Inversiones!$F$30:$F$149)=0,'Configuración'!$C$8,MIN(Inversiones!$F$30:$F$149))),1),INT(24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(24/MAX(1,COUNTA(Inversiones!$B$30:$B$149)))))</f>
        <v/>
      </c>
      <c r="C302" s="1" t="str">
        <f>IFERROR(__xludf.DUMMYFUNCTION("IF(B302="""","""",IFERROR(INDEX(FILTER(Inversiones!$B$30:$B$149,Inversiones!$B$30:$B$149&lt;&gt;""""),MOD(24,MAX(1,COUNTA(Inversiones!$B$30:$B$149)))+1),""""))"),"")</f>
        <v/>
      </c>
      <c r="D302" s="1" t="str">
        <f>IF(C302="","",MIN(EOMONTH(B302,0),'Configuración'!$C$8))</f>
        <v/>
      </c>
      <c r="E302" s="1">
        <f t="array" ref="E302">IF(C302="",0,IF(D302&lt;INDEX(Inversiones!$F$30:$F$149,MATCH(C302,Inversiones!$B$30:$B$149,0)),0,1))</f>
        <v>0</v>
      </c>
      <c r="F302" s="66" t="str">
        <f t="array" ref="F302">IF(E302=0,"",INDEX(Inversiones!$G$30:$G$149,MATCH(C302,Inversiones!$B$30:$B$149,0))+SUMIFS(Inversiones!$F$156:$F$285,Inversiones!$D$156:$D$285,C302,Inversiones!$C$156:$C$285,"&gt;="&amp;INDEX(Inversiones!$F$30:$F$149,MATCH(C302,Inversiones!$B$30:$B$149,0)),Inversiones!$C$156:$C$285,"&lt;="&amp;D302,Inversiones!$E$156:$E$285,"Compra")-SUMIFS(Inversiones!$F$156:$F$285,Inversiones!$D$156:$D$285,C302,Inversiones!$C$156:$C$285,"&gt;="&amp;INDEX(Inversiones!$F$30:$F$149,MATCH(C302,Inversiones!$B$30:$B$149,0)),Inversiones!$C$156:$C$285,"&lt;="&amp;D302,Inversiones!$E$156:$E$285,"Venta"))</f>
        <v/>
      </c>
      <c r="G302" s="39" t="str">
        <f t="array" ref="G302">IF(E302=0,"",INDEX(Inversiones!$H$30:$H$149,MATCH(C302,Inversiones!$B$30:$B$149,0))+SUMIFS(Inversiones!$J$156:$J$285,Inversiones!$D$156:$D$285,C302,Inversiones!$C$156:$C$285,"&gt;="&amp;INDEX(Inversiones!$F$30:$F$149,MATCH(C302,Inversiones!$B$30:$B$149,0)),Inversiones!$C$156:$C$285,"&lt;="&amp;D302,Inversiones!$E$156:$E$285,"Compra")-SUMIFS(Inversiones!$J$156:$J$285,Inversiones!$D$156:$D$285,C302,Inversiones!$C$156:$C$285,"&gt;="&amp;INDEX(Inversiones!$F$30:$F$149,MATCH(C302,Inversiones!$B$30:$B$149,0)),Inversiones!$C$156:$C$285,"&lt;="&amp;D302,Inversiones!$E$156:$E$285,"Venta"))</f>
        <v/>
      </c>
      <c r="H302" s="1" t="str">
        <f>IF(E302=0,"",MAXIFS(Inversiones!$C$292:$C$921,Inversiones!$B$292:$B$921,C302,Inversiones!$C$292:$C$921,"&lt;="&amp;D302))</f>
        <v/>
      </c>
      <c r="I302" s="1" t="str">
        <f>IF(OR(E302=0,H302=0),"",SUMIFS(Inversiones!$D$292:$D$921,Inversiones!$B$292:$B$921,C302,Inversiones!$C$292:$C$921,H302))</f>
        <v/>
      </c>
      <c r="J302" s="1" t="str">
        <f t="shared" si="9"/>
        <v/>
      </c>
      <c r="K302" s="1">
        <f t="shared" si="10"/>
        <v>0</v>
      </c>
      <c r="L302" s="1"/>
      <c r="M302" s="1"/>
      <c r="N302" s="1"/>
      <c r="O302" s="1"/>
      <c r="P302" s="1"/>
      <c r="Q302" s="1"/>
      <c r="R302" s="1"/>
    </row>
    <row r="303" ht="24.75" customHeight="1">
      <c r="A303" s="1"/>
      <c r="B303" s="1" t="str">
        <f>IF(EDATE(DATE(YEAR(IF(COUNT(Inversiones!$F$30:$F$149)=0,'Configuración'!$C$8,MIN(Inversiones!$F$30:$F$149))),MONTH(IF(COUNT(Inversiones!$F$30:$F$149)=0,'Configuración'!$C$8,MIN(Inversiones!$F$30:$F$149))),1),INT(25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(25/MAX(1,COUNTA(Inversiones!$B$30:$B$149)))))</f>
        <v/>
      </c>
      <c r="C303" s="1" t="str">
        <f>IFERROR(__xludf.DUMMYFUNCTION("IF(B303="""","""",IFERROR(INDEX(FILTER(Inversiones!$B$30:$B$149,Inversiones!$B$30:$B$149&lt;&gt;""""),MOD(25,MAX(1,COUNTA(Inversiones!$B$30:$B$149)))+1),""""))"),"")</f>
        <v/>
      </c>
      <c r="D303" s="1" t="str">
        <f>IF(C303="","",MIN(EOMONTH(B303,0),'Configuración'!$C$8))</f>
        <v/>
      </c>
      <c r="E303" s="1">
        <f t="array" ref="E303">IF(C303="",0,IF(D303&lt;INDEX(Inversiones!$F$30:$F$149,MATCH(C303,Inversiones!$B$30:$B$149,0)),0,1))</f>
        <v>0</v>
      </c>
      <c r="F303" s="1" t="str">
        <f t="array" ref="F303">IF(E303=0,"",INDEX(Inversiones!$G$30:$G$149,MATCH(C303,Inversiones!$B$30:$B$149,0))+SUMIFS(Inversiones!$F$156:$F$285,Inversiones!$D$156:$D$285,C303,Inversiones!$C$156:$C$285,"&gt;="&amp;INDEX(Inversiones!$F$30:$F$149,MATCH(C303,Inversiones!$B$30:$B$149,0)),Inversiones!$C$156:$C$285,"&lt;="&amp;D303,Inversiones!$E$156:$E$285,"Compra")-SUMIFS(Inversiones!$F$156:$F$285,Inversiones!$D$156:$D$285,C303,Inversiones!$C$156:$C$285,"&gt;="&amp;INDEX(Inversiones!$F$30:$F$149,MATCH(C303,Inversiones!$B$30:$B$149,0)),Inversiones!$C$156:$C$285,"&lt;="&amp;D303,Inversiones!$E$156:$E$285,"Venta"))</f>
        <v/>
      </c>
      <c r="G303" s="1" t="str">
        <f t="array" ref="G303">IF(E303=0,"",INDEX(Inversiones!$H$30:$H$149,MATCH(C303,Inversiones!$B$30:$B$149,0))+SUMIFS(Inversiones!$J$156:$J$285,Inversiones!$D$156:$D$285,C303,Inversiones!$C$156:$C$285,"&gt;="&amp;INDEX(Inversiones!$F$30:$F$149,MATCH(C303,Inversiones!$B$30:$B$149,0)),Inversiones!$C$156:$C$285,"&lt;="&amp;D303,Inversiones!$E$156:$E$285,"Compra")-SUMIFS(Inversiones!$J$156:$J$285,Inversiones!$D$156:$D$285,C303,Inversiones!$C$156:$C$285,"&gt;="&amp;INDEX(Inversiones!$F$30:$F$149,MATCH(C303,Inversiones!$B$30:$B$149,0)),Inversiones!$C$156:$C$285,"&lt;="&amp;D303,Inversiones!$E$156:$E$285,"Venta"))</f>
        <v/>
      </c>
      <c r="H303" s="1" t="str">
        <f>IF(E303=0,"",MAXIFS(Inversiones!$C$292:$C$921,Inversiones!$B$292:$B$921,C303,Inversiones!$C$292:$C$921,"&lt;="&amp;D303))</f>
        <v/>
      </c>
      <c r="I303" s="1" t="str">
        <f>IF(OR(E303=0,H303=0),"",SUMIFS(Inversiones!$D$292:$D$921,Inversiones!$B$292:$B$921,C303,Inversiones!$C$292:$C$921,H303))</f>
        <v/>
      </c>
      <c r="J303" s="1" t="str">
        <f t="shared" si="9"/>
        <v/>
      </c>
      <c r="K303" s="1">
        <f t="shared" si="10"/>
        <v>0</v>
      </c>
      <c r="L303" s="1"/>
      <c r="M303" s="1"/>
      <c r="N303" s="1"/>
      <c r="O303" s="1"/>
      <c r="P303" s="1"/>
      <c r="Q303" s="1"/>
      <c r="R303" s="1"/>
    </row>
    <row r="304" ht="24.75" customHeight="1">
      <c r="A304" s="1"/>
      <c r="B304" s="1" t="str">
        <f>IF(EDATE(DATE(YEAR(IF(COUNT(Inversiones!$F$30:$F$149)=0,'Configuración'!$C$8,MIN(Inversiones!$F$30:$F$149))),MONTH(IF(COUNT(Inversiones!$F$30:$F$149)=0,'Configuración'!$C$8,MIN(Inversiones!$F$30:$F$149))),1),INT(26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(26/MAX(1,COUNTA(Inversiones!$B$30:$B$149)))))</f>
        <v/>
      </c>
      <c r="C304" s="1" t="str">
        <f>IFERROR(__xludf.DUMMYFUNCTION("IF(B304="""","""",IFERROR(INDEX(FILTER(Inversiones!$B$30:$B$149,Inversiones!$B$30:$B$149&lt;&gt;""""),MOD(26,MAX(1,COUNTA(Inversiones!$B$30:$B$149)))+1),""""))"),"")</f>
        <v/>
      </c>
      <c r="D304" s="1" t="str">
        <f>IF(C304="","",MIN(EOMONTH(B304,0),'Configuración'!$C$8))</f>
        <v/>
      </c>
      <c r="E304" s="1">
        <f t="array" ref="E304">IF(C304="",0,IF(D304&lt;INDEX(Inversiones!$F$30:$F$149,MATCH(C304,Inversiones!$B$30:$B$149,0)),0,1))</f>
        <v>0</v>
      </c>
      <c r="F304" s="1" t="str">
        <f t="array" ref="F304">IF(E304=0,"",INDEX(Inversiones!$G$30:$G$149,MATCH(C304,Inversiones!$B$30:$B$149,0))+SUMIFS(Inversiones!$F$156:$F$285,Inversiones!$D$156:$D$285,C304,Inversiones!$C$156:$C$285,"&gt;="&amp;INDEX(Inversiones!$F$30:$F$149,MATCH(C304,Inversiones!$B$30:$B$149,0)),Inversiones!$C$156:$C$285,"&lt;="&amp;D304,Inversiones!$E$156:$E$285,"Compra")-SUMIFS(Inversiones!$F$156:$F$285,Inversiones!$D$156:$D$285,C304,Inversiones!$C$156:$C$285,"&gt;="&amp;INDEX(Inversiones!$F$30:$F$149,MATCH(C304,Inversiones!$B$30:$B$149,0)),Inversiones!$C$156:$C$285,"&lt;="&amp;D304,Inversiones!$E$156:$E$285,"Venta"))</f>
        <v/>
      </c>
      <c r="G304" s="1" t="str">
        <f t="array" ref="G304">IF(E304=0,"",INDEX(Inversiones!$H$30:$H$149,MATCH(C304,Inversiones!$B$30:$B$149,0))+SUMIFS(Inversiones!$J$156:$J$285,Inversiones!$D$156:$D$285,C304,Inversiones!$C$156:$C$285,"&gt;="&amp;INDEX(Inversiones!$F$30:$F$149,MATCH(C304,Inversiones!$B$30:$B$149,0)),Inversiones!$C$156:$C$285,"&lt;="&amp;D304,Inversiones!$E$156:$E$285,"Compra")-SUMIFS(Inversiones!$J$156:$J$285,Inversiones!$D$156:$D$285,C304,Inversiones!$C$156:$C$285,"&gt;="&amp;INDEX(Inversiones!$F$30:$F$149,MATCH(C304,Inversiones!$B$30:$B$149,0)),Inversiones!$C$156:$C$285,"&lt;="&amp;D304,Inversiones!$E$156:$E$285,"Venta"))</f>
        <v/>
      </c>
      <c r="H304" s="1" t="str">
        <f>IF(E304=0,"",MAXIFS(Inversiones!$C$292:$C$921,Inversiones!$B$292:$B$921,C304,Inversiones!$C$292:$C$921,"&lt;="&amp;D304))</f>
        <v/>
      </c>
      <c r="I304" s="1" t="str">
        <f>IF(OR(E304=0,H304=0),"",SUMIFS(Inversiones!$D$292:$D$921,Inversiones!$B$292:$B$921,C304,Inversiones!$C$292:$C$921,H304))</f>
        <v/>
      </c>
      <c r="J304" s="1" t="str">
        <f t="shared" si="9"/>
        <v/>
      </c>
      <c r="K304" s="1">
        <f t="shared" si="10"/>
        <v>0</v>
      </c>
      <c r="L304" s="1"/>
      <c r="M304" s="1"/>
      <c r="N304" s="1"/>
      <c r="O304" s="1"/>
      <c r="P304" s="1"/>
      <c r="Q304" s="1"/>
      <c r="R304" s="1"/>
    </row>
    <row r="305" ht="24.75" customHeight="1">
      <c r="A305" s="1"/>
      <c r="B305" s="1" t="str">
        <f>IF(EDATE(DATE(YEAR(IF(COUNT(Inversiones!$F$30:$F$149)=0,'Configuración'!$C$8,MIN(Inversiones!$F$30:$F$149))),MONTH(IF(COUNT(Inversiones!$F$30:$F$149)=0,'Configuración'!$C$8,MIN(Inversiones!$F$30:$F$149))),1),INT(27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(27/MAX(1,COUNTA(Inversiones!$B$30:$B$149)))))</f>
        <v/>
      </c>
      <c r="C305" s="1" t="str">
        <f>IFERROR(__xludf.DUMMYFUNCTION("IF(B305="""","""",IFERROR(INDEX(FILTER(Inversiones!$B$30:$B$149,Inversiones!$B$30:$B$149&lt;&gt;""""),MOD(27,MAX(1,COUNTA(Inversiones!$B$30:$B$149)))+1),""""))"),"")</f>
        <v/>
      </c>
      <c r="D305" s="1" t="str">
        <f>IF(C305="","",MIN(EOMONTH(B305,0),'Configuración'!$C$8))</f>
        <v/>
      </c>
      <c r="E305" s="1">
        <f t="array" ref="E305">IF(C305="",0,IF(D305&lt;INDEX(Inversiones!$F$30:$F$149,MATCH(C305,Inversiones!$B$30:$B$149,0)),0,1))</f>
        <v>0</v>
      </c>
      <c r="F305" s="66" t="str">
        <f t="array" ref="F305">IF(E305=0,"",INDEX(Inversiones!$G$30:$G$149,MATCH(C305,Inversiones!$B$30:$B$149,0))+SUMIFS(Inversiones!$F$156:$F$285,Inversiones!$D$156:$D$285,C305,Inversiones!$C$156:$C$285,"&gt;="&amp;INDEX(Inversiones!$F$30:$F$149,MATCH(C305,Inversiones!$B$30:$B$149,0)),Inversiones!$C$156:$C$285,"&lt;="&amp;D305,Inversiones!$E$156:$E$285,"Compra")-SUMIFS(Inversiones!$F$156:$F$285,Inversiones!$D$156:$D$285,C305,Inversiones!$C$156:$C$285,"&gt;="&amp;INDEX(Inversiones!$F$30:$F$149,MATCH(C305,Inversiones!$B$30:$B$149,0)),Inversiones!$C$156:$C$285,"&lt;="&amp;D305,Inversiones!$E$156:$E$285,"Venta"))</f>
        <v/>
      </c>
      <c r="G305" s="39" t="str">
        <f t="array" ref="G305">IF(E305=0,"",INDEX(Inversiones!$H$30:$H$149,MATCH(C305,Inversiones!$B$30:$B$149,0))+SUMIFS(Inversiones!$J$156:$J$285,Inversiones!$D$156:$D$285,C305,Inversiones!$C$156:$C$285,"&gt;="&amp;INDEX(Inversiones!$F$30:$F$149,MATCH(C305,Inversiones!$B$30:$B$149,0)),Inversiones!$C$156:$C$285,"&lt;="&amp;D305,Inversiones!$E$156:$E$285,"Compra")-SUMIFS(Inversiones!$J$156:$J$285,Inversiones!$D$156:$D$285,C305,Inversiones!$C$156:$C$285,"&gt;="&amp;INDEX(Inversiones!$F$30:$F$149,MATCH(C305,Inversiones!$B$30:$B$149,0)),Inversiones!$C$156:$C$285,"&lt;="&amp;D305,Inversiones!$E$156:$E$285,"Venta"))</f>
        <v/>
      </c>
      <c r="H305" s="1" t="str">
        <f>IF(E305=0,"",MAXIFS(Inversiones!$C$292:$C$921,Inversiones!$B$292:$B$921,C305,Inversiones!$C$292:$C$921,"&lt;="&amp;D305))</f>
        <v/>
      </c>
      <c r="I305" s="1" t="str">
        <f>IF(OR(E305=0,H305=0),"",SUMIFS(Inversiones!$D$292:$D$921,Inversiones!$B$292:$B$921,C305,Inversiones!$C$292:$C$921,H305))</f>
        <v/>
      </c>
      <c r="J305" s="1" t="str">
        <f t="shared" si="9"/>
        <v/>
      </c>
      <c r="K305" s="1">
        <f t="shared" si="10"/>
        <v>0</v>
      </c>
      <c r="L305" s="1"/>
      <c r="M305" s="1"/>
      <c r="N305" s="1"/>
      <c r="O305" s="1"/>
      <c r="P305" s="1"/>
      <c r="Q305" s="1"/>
      <c r="R305" s="1"/>
    </row>
    <row r="306" ht="24.75" customHeight="1">
      <c r="A306" s="1"/>
      <c r="B306" s="1" t="str">
        <f>IF(EDATE(DATE(YEAR(IF(COUNT(Inversiones!$F$30:$F$149)=0,'Configuración'!$C$8,MIN(Inversiones!$F$30:$F$149))),MONTH(IF(COUNT(Inversiones!$F$30:$F$149)=0,'Configuración'!$C$8,MIN(Inversiones!$F$30:$F$149))),1),INT(28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(28/MAX(1,COUNTA(Inversiones!$B$30:$B$149)))))</f>
        <v/>
      </c>
      <c r="C306" s="1" t="str">
        <f>IFERROR(__xludf.DUMMYFUNCTION("IF(B306="""","""",IFERROR(INDEX(FILTER(Inversiones!$B$30:$B$149,Inversiones!$B$30:$B$149&lt;&gt;""""),MOD(28,MAX(1,COUNTA(Inversiones!$B$30:$B$149)))+1),""""))"),"")</f>
        <v/>
      </c>
      <c r="D306" s="1" t="str">
        <f>IF(C306="","",MIN(EOMONTH(B306,0),'Configuración'!$C$8))</f>
        <v/>
      </c>
      <c r="E306" s="1">
        <f t="array" ref="E306">IF(C306="",0,IF(D306&lt;INDEX(Inversiones!$F$30:$F$149,MATCH(C306,Inversiones!$B$30:$B$149,0)),0,1))</f>
        <v>0</v>
      </c>
      <c r="F306" s="1" t="str">
        <f t="array" ref="F306">IF(E306=0,"",INDEX(Inversiones!$G$30:$G$149,MATCH(C306,Inversiones!$B$30:$B$149,0))+SUMIFS(Inversiones!$F$156:$F$285,Inversiones!$D$156:$D$285,C306,Inversiones!$C$156:$C$285,"&gt;="&amp;INDEX(Inversiones!$F$30:$F$149,MATCH(C306,Inversiones!$B$30:$B$149,0)),Inversiones!$C$156:$C$285,"&lt;="&amp;D306,Inversiones!$E$156:$E$285,"Compra")-SUMIFS(Inversiones!$F$156:$F$285,Inversiones!$D$156:$D$285,C306,Inversiones!$C$156:$C$285,"&gt;="&amp;INDEX(Inversiones!$F$30:$F$149,MATCH(C306,Inversiones!$B$30:$B$149,0)),Inversiones!$C$156:$C$285,"&lt;="&amp;D306,Inversiones!$E$156:$E$285,"Venta"))</f>
        <v/>
      </c>
      <c r="G306" s="1" t="str">
        <f t="array" ref="G306">IF(E306=0,"",INDEX(Inversiones!$H$30:$H$149,MATCH(C306,Inversiones!$B$30:$B$149,0))+SUMIFS(Inversiones!$J$156:$J$285,Inversiones!$D$156:$D$285,C306,Inversiones!$C$156:$C$285,"&gt;="&amp;INDEX(Inversiones!$F$30:$F$149,MATCH(C306,Inversiones!$B$30:$B$149,0)),Inversiones!$C$156:$C$285,"&lt;="&amp;D306,Inversiones!$E$156:$E$285,"Compra")-SUMIFS(Inversiones!$J$156:$J$285,Inversiones!$D$156:$D$285,C306,Inversiones!$C$156:$C$285,"&gt;="&amp;INDEX(Inversiones!$F$30:$F$149,MATCH(C306,Inversiones!$B$30:$B$149,0)),Inversiones!$C$156:$C$285,"&lt;="&amp;D306,Inversiones!$E$156:$E$285,"Venta"))</f>
        <v/>
      </c>
      <c r="H306" s="1" t="str">
        <f>IF(E306=0,"",MAXIFS(Inversiones!$C$292:$C$921,Inversiones!$B$292:$B$921,C306,Inversiones!$C$292:$C$921,"&lt;="&amp;D306))</f>
        <v/>
      </c>
      <c r="I306" s="1" t="str">
        <f>IF(OR(E306=0,H306=0),"",SUMIFS(Inversiones!$D$292:$D$921,Inversiones!$B$292:$B$921,C306,Inversiones!$C$292:$C$921,H306))</f>
        <v/>
      </c>
      <c r="J306" s="1" t="str">
        <f t="shared" si="9"/>
        <v/>
      </c>
      <c r="K306" s="1">
        <f t="shared" si="10"/>
        <v>0</v>
      </c>
      <c r="L306" s="1"/>
      <c r="M306" s="1"/>
      <c r="N306" s="1"/>
      <c r="O306" s="1"/>
      <c r="P306" s="1"/>
      <c r="Q306" s="1"/>
      <c r="R306" s="1"/>
    </row>
    <row r="307" ht="24.75" customHeight="1">
      <c r="A307" s="1"/>
      <c r="B307" s="1" t="str">
        <f>IF(EDATE(DATE(YEAR(IF(COUNT(Inversiones!$F$30:$F$149)=0,'Configuración'!$C$8,MIN(Inversiones!$F$30:$F$149))),MONTH(IF(COUNT(Inversiones!$F$30:$F$149)=0,'Configuración'!$C$8,MIN(Inversiones!$F$30:$F$149))),1),INT(29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(29/MAX(1,COUNTA(Inversiones!$B$30:$B$149)))))</f>
        <v/>
      </c>
      <c r="C307" s="1" t="str">
        <f>IFERROR(__xludf.DUMMYFUNCTION("IF(B307="""","""",IFERROR(INDEX(FILTER(Inversiones!$B$30:$B$149,Inversiones!$B$30:$B$149&lt;&gt;""""),MOD(29,MAX(1,COUNTA(Inversiones!$B$30:$B$149)))+1),""""))"),"")</f>
        <v/>
      </c>
      <c r="D307" s="1" t="str">
        <f>IF(C307="","",MIN(EOMONTH(B307,0),'Configuración'!$C$8))</f>
        <v/>
      </c>
      <c r="E307" s="1">
        <f t="array" ref="E307">IF(C307="",0,IF(D307&lt;INDEX(Inversiones!$F$30:$F$149,MATCH(C307,Inversiones!$B$30:$B$149,0)),0,1))</f>
        <v>0</v>
      </c>
      <c r="F307" s="1" t="str">
        <f t="array" ref="F307">IF(E307=0,"",INDEX(Inversiones!$G$30:$G$149,MATCH(C307,Inversiones!$B$30:$B$149,0))+SUMIFS(Inversiones!$F$156:$F$285,Inversiones!$D$156:$D$285,C307,Inversiones!$C$156:$C$285,"&gt;="&amp;INDEX(Inversiones!$F$30:$F$149,MATCH(C307,Inversiones!$B$30:$B$149,0)),Inversiones!$C$156:$C$285,"&lt;="&amp;D307,Inversiones!$E$156:$E$285,"Compra")-SUMIFS(Inversiones!$F$156:$F$285,Inversiones!$D$156:$D$285,C307,Inversiones!$C$156:$C$285,"&gt;="&amp;INDEX(Inversiones!$F$30:$F$149,MATCH(C307,Inversiones!$B$30:$B$149,0)),Inversiones!$C$156:$C$285,"&lt;="&amp;D307,Inversiones!$E$156:$E$285,"Venta"))</f>
        <v/>
      </c>
      <c r="G307" s="1" t="str">
        <f t="array" ref="G307">IF(E307=0,"",INDEX(Inversiones!$H$30:$H$149,MATCH(C307,Inversiones!$B$30:$B$149,0))+SUMIFS(Inversiones!$J$156:$J$285,Inversiones!$D$156:$D$285,C307,Inversiones!$C$156:$C$285,"&gt;="&amp;INDEX(Inversiones!$F$30:$F$149,MATCH(C307,Inversiones!$B$30:$B$149,0)),Inversiones!$C$156:$C$285,"&lt;="&amp;D307,Inversiones!$E$156:$E$285,"Compra")-SUMIFS(Inversiones!$J$156:$J$285,Inversiones!$D$156:$D$285,C307,Inversiones!$C$156:$C$285,"&gt;="&amp;INDEX(Inversiones!$F$30:$F$149,MATCH(C307,Inversiones!$B$30:$B$149,0)),Inversiones!$C$156:$C$285,"&lt;="&amp;D307,Inversiones!$E$156:$E$285,"Venta"))</f>
        <v/>
      </c>
      <c r="H307" s="1" t="str">
        <f>IF(E307=0,"",MAXIFS(Inversiones!$C$292:$C$921,Inversiones!$B$292:$B$921,C307,Inversiones!$C$292:$C$921,"&lt;="&amp;D307))</f>
        <v/>
      </c>
      <c r="I307" s="1" t="str">
        <f>IF(OR(E307=0,H307=0),"",SUMIFS(Inversiones!$D$292:$D$921,Inversiones!$B$292:$B$921,C307,Inversiones!$C$292:$C$921,H307))</f>
        <v/>
      </c>
      <c r="J307" s="1" t="str">
        <f t="shared" si="9"/>
        <v/>
      </c>
      <c r="K307" s="1">
        <f t="shared" si="10"/>
        <v>0</v>
      </c>
      <c r="L307" s="1"/>
      <c r="M307" s="1"/>
      <c r="N307" s="1"/>
      <c r="O307" s="1"/>
      <c r="P307" s="1"/>
      <c r="Q307" s="1"/>
      <c r="R307" s="1"/>
    </row>
    <row r="308" ht="24.75" customHeight="1">
      <c r="A308" s="1"/>
      <c r="B308" s="1" t="str">
        <f>IF(EDATE(DATE(YEAR(IF(COUNT(Inversiones!$F$30:$F$149)=0,'Configuración'!$C$8,MIN(Inversiones!$F$30:$F$149))),MONTH(IF(COUNT(Inversiones!$F$30:$F$149)=0,'Configuración'!$C$8,MIN(Inversiones!$F$30:$F$149))),1),INT(30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(30/MAX(1,COUNTA(Inversiones!$B$30:$B$149)))))</f>
        <v/>
      </c>
      <c r="C308" s="1" t="str">
        <f>IFERROR(__xludf.DUMMYFUNCTION("IF(B308="""","""",IFERROR(INDEX(FILTER(Inversiones!$B$30:$B$149,Inversiones!$B$30:$B$149&lt;&gt;""""),MOD(30,MAX(1,COUNTA(Inversiones!$B$30:$B$149)))+1),""""))"),"")</f>
        <v/>
      </c>
      <c r="D308" s="1" t="str">
        <f>IF(C308="","",MIN(EOMONTH(B308,0),'Configuración'!$C$8))</f>
        <v/>
      </c>
      <c r="E308" s="1">
        <f t="array" ref="E308">IF(C308="",0,IF(D308&lt;INDEX(Inversiones!$F$30:$F$149,MATCH(C308,Inversiones!$B$30:$B$149,0)),0,1))</f>
        <v>0</v>
      </c>
      <c r="F308" s="66" t="str">
        <f t="array" ref="F308">IF(E308=0,"",INDEX(Inversiones!$G$30:$G$149,MATCH(C308,Inversiones!$B$30:$B$149,0))+SUMIFS(Inversiones!$F$156:$F$285,Inversiones!$D$156:$D$285,C308,Inversiones!$C$156:$C$285,"&gt;="&amp;INDEX(Inversiones!$F$30:$F$149,MATCH(C308,Inversiones!$B$30:$B$149,0)),Inversiones!$C$156:$C$285,"&lt;="&amp;D308,Inversiones!$E$156:$E$285,"Compra")-SUMIFS(Inversiones!$F$156:$F$285,Inversiones!$D$156:$D$285,C308,Inversiones!$C$156:$C$285,"&gt;="&amp;INDEX(Inversiones!$F$30:$F$149,MATCH(C308,Inversiones!$B$30:$B$149,0)),Inversiones!$C$156:$C$285,"&lt;="&amp;D308,Inversiones!$E$156:$E$285,"Venta"))</f>
        <v/>
      </c>
      <c r="G308" s="39" t="str">
        <f t="array" ref="G308">IF(E308=0,"",INDEX(Inversiones!$H$30:$H$149,MATCH(C308,Inversiones!$B$30:$B$149,0))+SUMIFS(Inversiones!$J$156:$J$285,Inversiones!$D$156:$D$285,C308,Inversiones!$C$156:$C$285,"&gt;="&amp;INDEX(Inversiones!$F$30:$F$149,MATCH(C308,Inversiones!$B$30:$B$149,0)),Inversiones!$C$156:$C$285,"&lt;="&amp;D308,Inversiones!$E$156:$E$285,"Compra")-SUMIFS(Inversiones!$J$156:$J$285,Inversiones!$D$156:$D$285,C308,Inversiones!$C$156:$C$285,"&gt;="&amp;INDEX(Inversiones!$F$30:$F$149,MATCH(C308,Inversiones!$B$30:$B$149,0)),Inversiones!$C$156:$C$285,"&lt;="&amp;D308,Inversiones!$E$156:$E$285,"Venta"))</f>
        <v/>
      </c>
      <c r="H308" s="1" t="str">
        <f>IF(E308=0,"",MAXIFS(Inversiones!$C$292:$C$921,Inversiones!$B$292:$B$921,C308,Inversiones!$C$292:$C$921,"&lt;="&amp;D308))</f>
        <v/>
      </c>
      <c r="I308" s="1" t="str">
        <f>IF(OR(E308=0,H308=0),"",SUMIFS(Inversiones!$D$292:$D$921,Inversiones!$B$292:$B$921,C308,Inversiones!$C$292:$C$921,H308))</f>
        <v/>
      </c>
      <c r="J308" s="1" t="str">
        <f t="shared" si="9"/>
        <v/>
      </c>
      <c r="K308" s="1">
        <f t="shared" si="10"/>
        <v>0</v>
      </c>
      <c r="L308" s="1"/>
      <c r="M308" s="1"/>
      <c r="N308" s="1"/>
      <c r="O308" s="1"/>
      <c r="P308" s="1"/>
      <c r="Q308" s="1"/>
      <c r="R308" s="1"/>
    </row>
    <row r="309" ht="24.75" customHeight="1">
      <c r="A309" s="1"/>
      <c r="B309" s="1" t="str">
        <f>IF(EDATE(DATE(YEAR(IF(COUNT(Inversiones!$F$30:$F$149)=0,'Configuración'!$C$8,MIN(Inversiones!$F$30:$F$149))),MONTH(IF(COUNT(Inversiones!$F$30:$F$149)=0,'Configuración'!$C$8,MIN(Inversiones!$F$30:$F$149))),1),INT(31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(31/MAX(1,COUNTA(Inversiones!$B$30:$B$149)))))</f>
        <v/>
      </c>
      <c r="C309" s="1" t="str">
        <f>IFERROR(__xludf.DUMMYFUNCTION("IF(B309="""","""",IFERROR(INDEX(FILTER(Inversiones!$B$30:$B$149,Inversiones!$B$30:$B$149&lt;&gt;""""),MOD(31,MAX(1,COUNTA(Inversiones!$B$30:$B$149)))+1),""""))"),"")</f>
        <v/>
      </c>
      <c r="D309" s="1" t="str">
        <f>IF(C309="","",MIN(EOMONTH(B309,0),'Configuración'!$C$8))</f>
        <v/>
      </c>
      <c r="E309" s="1">
        <f t="array" ref="E309">IF(C309="",0,IF(D309&lt;INDEX(Inversiones!$F$30:$F$149,MATCH(C309,Inversiones!$B$30:$B$149,0)),0,1))</f>
        <v>0</v>
      </c>
      <c r="F309" s="1" t="str">
        <f t="array" ref="F309">IF(E309=0,"",INDEX(Inversiones!$G$30:$G$149,MATCH(C309,Inversiones!$B$30:$B$149,0))+SUMIFS(Inversiones!$F$156:$F$285,Inversiones!$D$156:$D$285,C309,Inversiones!$C$156:$C$285,"&gt;="&amp;INDEX(Inversiones!$F$30:$F$149,MATCH(C309,Inversiones!$B$30:$B$149,0)),Inversiones!$C$156:$C$285,"&lt;="&amp;D309,Inversiones!$E$156:$E$285,"Compra")-SUMIFS(Inversiones!$F$156:$F$285,Inversiones!$D$156:$D$285,C309,Inversiones!$C$156:$C$285,"&gt;="&amp;INDEX(Inversiones!$F$30:$F$149,MATCH(C309,Inversiones!$B$30:$B$149,0)),Inversiones!$C$156:$C$285,"&lt;="&amp;D309,Inversiones!$E$156:$E$285,"Venta"))</f>
        <v/>
      </c>
      <c r="G309" s="1" t="str">
        <f t="array" ref="G309">IF(E309=0,"",INDEX(Inversiones!$H$30:$H$149,MATCH(C309,Inversiones!$B$30:$B$149,0))+SUMIFS(Inversiones!$J$156:$J$285,Inversiones!$D$156:$D$285,C309,Inversiones!$C$156:$C$285,"&gt;="&amp;INDEX(Inversiones!$F$30:$F$149,MATCH(C309,Inversiones!$B$30:$B$149,0)),Inversiones!$C$156:$C$285,"&lt;="&amp;D309,Inversiones!$E$156:$E$285,"Compra")-SUMIFS(Inversiones!$J$156:$J$285,Inversiones!$D$156:$D$285,C309,Inversiones!$C$156:$C$285,"&gt;="&amp;INDEX(Inversiones!$F$30:$F$149,MATCH(C309,Inversiones!$B$30:$B$149,0)),Inversiones!$C$156:$C$285,"&lt;="&amp;D309,Inversiones!$E$156:$E$285,"Venta"))</f>
        <v/>
      </c>
      <c r="H309" s="1" t="str">
        <f>IF(E309=0,"",MAXIFS(Inversiones!$C$292:$C$921,Inversiones!$B$292:$B$921,C309,Inversiones!$C$292:$C$921,"&lt;="&amp;D309))</f>
        <v/>
      </c>
      <c r="I309" s="1" t="str">
        <f>IF(OR(E309=0,H309=0),"",SUMIFS(Inversiones!$D$292:$D$921,Inversiones!$B$292:$B$921,C309,Inversiones!$C$292:$C$921,H309))</f>
        <v/>
      </c>
      <c r="J309" s="1" t="str">
        <f t="shared" si="9"/>
        <v/>
      </c>
      <c r="K309" s="1">
        <f t="shared" si="10"/>
        <v>0</v>
      </c>
      <c r="L309" s="1"/>
      <c r="M309" s="1"/>
      <c r="N309" s="1"/>
      <c r="O309" s="1"/>
      <c r="P309" s="1"/>
      <c r="Q309" s="1"/>
      <c r="R309" s="1"/>
    </row>
    <row r="310" ht="24.75" customHeight="1">
      <c r="A310" s="1"/>
      <c r="B310" s="1" t="str">
        <f>IF(EDATE(DATE(YEAR(IF(COUNT(Inversiones!$F$30:$F$149)=0,'Configuración'!$C$8,MIN(Inversiones!$F$30:$F$149))),MONTH(IF(COUNT(Inversiones!$F$30:$F$149)=0,'Configuración'!$C$8,MIN(Inversiones!$F$30:$F$149))),1),INT(32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(32/MAX(1,COUNTA(Inversiones!$B$30:$B$149)))))</f>
        <v/>
      </c>
      <c r="C310" s="1" t="str">
        <f>IFERROR(__xludf.DUMMYFUNCTION("IF(B310="""","""",IFERROR(INDEX(FILTER(Inversiones!$B$30:$B$149,Inversiones!$B$30:$B$149&lt;&gt;""""),MOD(32,MAX(1,COUNTA(Inversiones!$B$30:$B$149)))+1),""""))"),"")</f>
        <v/>
      </c>
      <c r="D310" s="1" t="str">
        <f>IF(C310="","",MIN(EOMONTH(B310,0),'Configuración'!$C$8))</f>
        <v/>
      </c>
      <c r="E310" s="1">
        <f t="array" ref="E310">IF(C310="",0,IF(D310&lt;INDEX(Inversiones!$F$30:$F$149,MATCH(C310,Inversiones!$B$30:$B$149,0)),0,1))</f>
        <v>0</v>
      </c>
      <c r="F310" s="1" t="str">
        <f t="array" ref="F310">IF(E310=0,"",INDEX(Inversiones!$G$30:$G$149,MATCH(C310,Inversiones!$B$30:$B$149,0))+SUMIFS(Inversiones!$F$156:$F$285,Inversiones!$D$156:$D$285,C310,Inversiones!$C$156:$C$285,"&gt;="&amp;INDEX(Inversiones!$F$30:$F$149,MATCH(C310,Inversiones!$B$30:$B$149,0)),Inversiones!$C$156:$C$285,"&lt;="&amp;D310,Inversiones!$E$156:$E$285,"Compra")-SUMIFS(Inversiones!$F$156:$F$285,Inversiones!$D$156:$D$285,C310,Inversiones!$C$156:$C$285,"&gt;="&amp;INDEX(Inversiones!$F$30:$F$149,MATCH(C310,Inversiones!$B$30:$B$149,0)),Inversiones!$C$156:$C$285,"&lt;="&amp;D310,Inversiones!$E$156:$E$285,"Venta"))</f>
        <v/>
      </c>
      <c r="G310" s="1" t="str">
        <f t="array" ref="G310">IF(E310=0,"",INDEX(Inversiones!$H$30:$H$149,MATCH(C310,Inversiones!$B$30:$B$149,0))+SUMIFS(Inversiones!$J$156:$J$285,Inversiones!$D$156:$D$285,C310,Inversiones!$C$156:$C$285,"&gt;="&amp;INDEX(Inversiones!$F$30:$F$149,MATCH(C310,Inversiones!$B$30:$B$149,0)),Inversiones!$C$156:$C$285,"&lt;="&amp;D310,Inversiones!$E$156:$E$285,"Compra")-SUMIFS(Inversiones!$J$156:$J$285,Inversiones!$D$156:$D$285,C310,Inversiones!$C$156:$C$285,"&gt;="&amp;INDEX(Inversiones!$F$30:$F$149,MATCH(C310,Inversiones!$B$30:$B$149,0)),Inversiones!$C$156:$C$285,"&lt;="&amp;D310,Inversiones!$E$156:$E$285,"Venta"))</f>
        <v/>
      </c>
      <c r="H310" s="1" t="str">
        <f>IF(E310=0,"",MAXIFS(Inversiones!$C$292:$C$921,Inversiones!$B$292:$B$921,C310,Inversiones!$C$292:$C$921,"&lt;="&amp;D310))</f>
        <v/>
      </c>
      <c r="I310" s="1" t="str">
        <f>IF(OR(E310=0,H310=0),"",SUMIFS(Inversiones!$D$292:$D$921,Inversiones!$B$292:$B$921,C310,Inversiones!$C$292:$C$921,H310))</f>
        <v/>
      </c>
      <c r="J310" s="1" t="str">
        <f t="shared" si="9"/>
        <v/>
      </c>
      <c r="K310" s="1">
        <f t="shared" si="10"/>
        <v>0</v>
      </c>
      <c r="L310" s="1"/>
      <c r="M310" s="1"/>
      <c r="N310" s="1"/>
      <c r="O310" s="1"/>
      <c r="P310" s="1"/>
      <c r="Q310" s="1"/>
      <c r="R310" s="1"/>
    </row>
    <row r="311" ht="24.75" customHeight="1">
      <c r="A311" s="1"/>
      <c r="B311" s="1" t="str">
        <f>IF(EDATE(DATE(YEAR(IF(COUNT(Inversiones!$F$30:$F$149)=0,'Configuración'!$C$8,MIN(Inversiones!$F$30:$F$149))),MONTH(IF(COUNT(Inversiones!$F$30:$F$149)=0,'Configuración'!$C$8,MIN(Inversiones!$F$30:$F$149))),1),INT(33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(33/MAX(1,COUNTA(Inversiones!$B$30:$B$149)))))</f>
        <v/>
      </c>
      <c r="C311" s="1" t="str">
        <f>IFERROR(__xludf.DUMMYFUNCTION("IF(B311="""","""",IFERROR(INDEX(FILTER(Inversiones!$B$30:$B$149,Inversiones!$B$30:$B$149&lt;&gt;""""),MOD(33,MAX(1,COUNTA(Inversiones!$B$30:$B$149)))+1),""""))"),"")</f>
        <v/>
      </c>
      <c r="D311" s="1" t="str">
        <f>IF(C311="","",MIN(EOMONTH(B311,0),'Configuración'!$C$8))</f>
        <v/>
      </c>
      <c r="E311" s="1">
        <f t="array" ref="E311">IF(C311="",0,IF(D311&lt;INDEX(Inversiones!$F$30:$F$149,MATCH(C311,Inversiones!$B$30:$B$149,0)),0,1))</f>
        <v>0</v>
      </c>
      <c r="F311" s="66" t="str">
        <f t="array" ref="F311">IF(E311=0,"",INDEX(Inversiones!$G$30:$G$149,MATCH(C311,Inversiones!$B$30:$B$149,0))+SUMIFS(Inversiones!$F$156:$F$285,Inversiones!$D$156:$D$285,C311,Inversiones!$C$156:$C$285,"&gt;="&amp;INDEX(Inversiones!$F$30:$F$149,MATCH(C311,Inversiones!$B$30:$B$149,0)),Inversiones!$C$156:$C$285,"&lt;="&amp;D311,Inversiones!$E$156:$E$285,"Compra")-SUMIFS(Inversiones!$F$156:$F$285,Inversiones!$D$156:$D$285,C311,Inversiones!$C$156:$C$285,"&gt;="&amp;INDEX(Inversiones!$F$30:$F$149,MATCH(C311,Inversiones!$B$30:$B$149,0)),Inversiones!$C$156:$C$285,"&lt;="&amp;D311,Inversiones!$E$156:$E$285,"Venta"))</f>
        <v/>
      </c>
      <c r="G311" s="39" t="str">
        <f t="array" ref="G311">IF(E311=0,"",INDEX(Inversiones!$H$30:$H$149,MATCH(C311,Inversiones!$B$30:$B$149,0))+SUMIFS(Inversiones!$J$156:$J$285,Inversiones!$D$156:$D$285,C311,Inversiones!$C$156:$C$285,"&gt;="&amp;INDEX(Inversiones!$F$30:$F$149,MATCH(C311,Inversiones!$B$30:$B$149,0)),Inversiones!$C$156:$C$285,"&lt;="&amp;D311,Inversiones!$E$156:$E$285,"Compra")-SUMIFS(Inversiones!$J$156:$J$285,Inversiones!$D$156:$D$285,C311,Inversiones!$C$156:$C$285,"&gt;="&amp;INDEX(Inversiones!$F$30:$F$149,MATCH(C311,Inversiones!$B$30:$B$149,0)),Inversiones!$C$156:$C$285,"&lt;="&amp;D311,Inversiones!$E$156:$E$285,"Venta"))</f>
        <v/>
      </c>
      <c r="H311" s="1" t="str">
        <f>IF(E311=0,"",MAXIFS(Inversiones!$C$292:$C$921,Inversiones!$B$292:$B$921,C311,Inversiones!$C$292:$C$921,"&lt;="&amp;D311))</f>
        <v/>
      </c>
      <c r="I311" s="1" t="str">
        <f>IF(OR(E311=0,H311=0),"",SUMIFS(Inversiones!$D$292:$D$921,Inversiones!$B$292:$B$921,C311,Inversiones!$C$292:$C$921,H311))</f>
        <v/>
      </c>
      <c r="J311" s="1" t="str">
        <f t="shared" si="9"/>
        <v/>
      </c>
      <c r="K311" s="1">
        <f t="shared" si="10"/>
        <v>0</v>
      </c>
      <c r="L311" s="1"/>
      <c r="M311" s="1"/>
      <c r="N311" s="1"/>
      <c r="O311" s="1"/>
      <c r="P311" s="1"/>
      <c r="Q311" s="1"/>
      <c r="R311" s="1"/>
    </row>
    <row r="312" ht="24.75" customHeight="1">
      <c r="A312" s="1"/>
      <c r="B312" s="1" t="str">
        <f>IF(EDATE(DATE(YEAR(IF(COUNT(Inversiones!$F$30:$F$149)=0,'Configuración'!$C$8,MIN(Inversiones!$F$30:$F$149))),MONTH(IF(COUNT(Inversiones!$F$30:$F$149)=0,'Configuración'!$C$8,MIN(Inversiones!$F$30:$F$149))),1),INT(34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(34/MAX(1,COUNTA(Inversiones!$B$30:$B$149)))))</f>
        <v/>
      </c>
      <c r="C312" s="1" t="str">
        <f>IFERROR(__xludf.DUMMYFUNCTION("IF(B312="""","""",IFERROR(INDEX(FILTER(Inversiones!$B$30:$B$149,Inversiones!$B$30:$B$149&lt;&gt;""""),MOD(34,MAX(1,COUNTA(Inversiones!$B$30:$B$149)))+1),""""))"),"")</f>
        <v/>
      </c>
      <c r="D312" s="1" t="str">
        <f>IF(C312="","",MIN(EOMONTH(B312,0),'Configuración'!$C$8))</f>
        <v/>
      </c>
      <c r="E312" s="1">
        <f t="array" ref="E312">IF(C312="",0,IF(D312&lt;INDEX(Inversiones!$F$30:$F$149,MATCH(C312,Inversiones!$B$30:$B$149,0)),0,1))</f>
        <v>0</v>
      </c>
      <c r="F312" s="1" t="str">
        <f t="array" ref="F312">IF(E312=0,"",INDEX(Inversiones!$G$30:$G$149,MATCH(C312,Inversiones!$B$30:$B$149,0))+SUMIFS(Inversiones!$F$156:$F$285,Inversiones!$D$156:$D$285,C312,Inversiones!$C$156:$C$285,"&gt;="&amp;INDEX(Inversiones!$F$30:$F$149,MATCH(C312,Inversiones!$B$30:$B$149,0)),Inversiones!$C$156:$C$285,"&lt;="&amp;D312,Inversiones!$E$156:$E$285,"Compra")-SUMIFS(Inversiones!$F$156:$F$285,Inversiones!$D$156:$D$285,C312,Inversiones!$C$156:$C$285,"&gt;="&amp;INDEX(Inversiones!$F$30:$F$149,MATCH(C312,Inversiones!$B$30:$B$149,0)),Inversiones!$C$156:$C$285,"&lt;="&amp;D312,Inversiones!$E$156:$E$285,"Venta"))</f>
        <v/>
      </c>
      <c r="G312" s="1" t="str">
        <f t="array" ref="G312">IF(E312=0,"",INDEX(Inversiones!$H$30:$H$149,MATCH(C312,Inversiones!$B$30:$B$149,0))+SUMIFS(Inversiones!$J$156:$J$285,Inversiones!$D$156:$D$285,C312,Inversiones!$C$156:$C$285,"&gt;="&amp;INDEX(Inversiones!$F$30:$F$149,MATCH(C312,Inversiones!$B$30:$B$149,0)),Inversiones!$C$156:$C$285,"&lt;="&amp;D312,Inversiones!$E$156:$E$285,"Compra")-SUMIFS(Inversiones!$J$156:$J$285,Inversiones!$D$156:$D$285,C312,Inversiones!$C$156:$C$285,"&gt;="&amp;INDEX(Inversiones!$F$30:$F$149,MATCH(C312,Inversiones!$B$30:$B$149,0)),Inversiones!$C$156:$C$285,"&lt;="&amp;D312,Inversiones!$E$156:$E$285,"Venta"))</f>
        <v/>
      </c>
      <c r="H312" s="1" t="str">
        <f>IF(E312=0,"",MAXIFS(Inversiones!$C$292:$C$921,Inversiones!$B$292:$B$921,C312,Inversiones!$C$292:$C$921,"&lt;="&amp;D312))</f>
        <v/>
      </c>
      <c r="I312" s="1" t="str">
        <f>IF(OR(E312=0,H312=0),"",SUMIFS(Inversiones!$D$292:$D$921,Inversiones!$B$292:$B$921,C312,Inversiones!$C$292:$C$921,H312))</f>
        <v/>
      </c>
      <c r="J312" s="1" t="str">
        <f t="shared" si="9"/>
        <v/>
      </c>
      <c r="K312" s="1">
        <f t="shared" si="10"/>
        <v>0</v>
      </c>
      <c r="L312" s="1"/>
      <c r="M312" s="1"/>
      <c r="N312" s="1"/>
      <c r="O312" s="1"/>
      <c r="P312" s="1"/>
      <c r="Q312" s="1"/>
      <c r="R312" s="1"/>
    </row>
    <row r="313" ht="24.75" customHeight="1">
      <c r="A313" s="1"/>
      <c r="B313" s="1" t="str">
        <f>IF(EDATE(DATE(YEAR(IF(COUNT(Inversiones!$F$30:$F$149)=0,'Configuración'!$C$8,MIN(Inversiones!$F$30:$F$149))),MONTH(IF(COUNT(Inversiones!$F$30:$F$149)=0,'Configuración'!$C$8,MIN(Inversiones!$F$30:$F$149))),1),INT(35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(35/MAX(1,COUNTA(Inversiones!$B$30:$B$149)))))</f>
        <v/>
      </c>
      <c r="C313" s="1" t="str">
        <f>IFERROR(__xludf.DUMMYFUNCTION("IF(B313="""","""",IFERROR(INDEX(FILTER(Inversiones!$B$30:$B$149,Inversiones!$B$30:$B$149&lt;&gt;""""),MOD(35,MAX(1,COUNTA(Inversiones!$B$30:$B$149)))+1),""""))"),"")</f>
        <v/>
      </c>
      <c r="D313" s="1" t="str">
        <f>IF(C313="","",MIN(EOMONTH(B313,0),'Configuración'!$C$8))</f>
        <v/>
      </c>
      <c r="E313" s="1">
        <f t="array" ref="E313">IF(C313="",0,IF(D313&lt;INDEX(Inversiones!$F$30:$F$149,MATCH(C313,Inversiones!$B$30:$B$149,0)),0,1))</f>
        <v>0</v>
      </c>
      <c r="F313" s="1" t="str">
        <f t="array" ref="F313">IF(E313=0,"",INDEX(Inversiones!$G$30:$G$149,MATCH(C313,Inversiones!$B$30:$B$149,0))+SUMIFS(Inversiones!$F$156:$F$285,Inversiones!$D$156:$D$285,C313,Inversiones!$C$156:$C$285,"&gt;="&amp;INDEX(Inversiones!$F$30:$F$149,MATCH(C313,Inversiones!$B$30:$B$149,0)),Inversiones!$C$156:$C$285,"&lt;="&amp;D313,Inversiones!$E$156:$E$285,"Compra")-SUMIFS(Inversiones!$F$156:$F$285,Inversiones!$D$156:$D$285,C313,Inversiones!$C$156:$C$285,"&gt;="&amp;INDEX(Inversiones!$F$30:$F$149,MATCH(C313,Inversiones!$B$30:$B$149,0)),Inversiones!$C$156:$C$285,"&lt;="&amp;D313,Inversiones!$E$156:$E$285,"Venta"))</f>
        <v/>
      </c>
      <c r="G313" s="1" t="str">
        <f t="array" ref="G313">IF(E313=0,"",INDEX(Inversiones!$H$30:$H$149,MATCH(C313,Inversiones!$B$30:$B$149,0))+SUMIFS(Inversiones!$J$156:$J$285,Inversiones!$D$156:$D$285,C313,Inversiones!$C$156:$C$285,"&gt;="&amp;INDEX(Inversiones!$F$30:$F$149,MATCH(C313,Inversiones!$B$30:$B$149,0)),Inversiones!$C$156:$C$285,"&lt;="&amp;D313,Inversiones!$E$156:$E$285,"Compra")-SUMIFS(Inversiones!$J$156:$J$285,Inversiones!$D$156:$D$285,C313,Inversiones!$C$156:$C$285,"&gt;="&amp;INDEX(Inversiones!$F$30:$F$149,MATCH(C313,Inversiones!$B$30:$B$149,0)),Inversiones!$C$156:$C$285,"&lt;="&amp;D313,Inversiones!$E$156:$E$285,"Venta"))</f>
        <v/>
      </c>
      <c r="H313" s="1" t="str">
        <f>IF(E313=0,"",MAXIFS(Inversiones!$C$292:$C$921,Inversiones!$B$292:$B$921,C313,Inversiones!$C$292:$C$921,"&lt;="&amp;D313))</f>
        <v/>
      </c>
      <c r="I313" s="1" t="str">
        <f>IF(OR(E313=0,H313=0),"",SUMIFS(Inversiones!$D$292:$D$921,Inversiones!$B$292:$B$921,C313,Inversiones!$C$292:$C$921,H313))</f>
        <v/>
      </c>
      <c r="J313" s="1" t="str">
        <f t="shared" si="9"/>
        <v/>
      </c>
      <c r="K313" s="1">
        <f t="shared" si="10"/>
        <v>0</v>
      </c>
      <c r="L313" s="1"/>
      <c r="M313" s="1"/>
      <c r="N313" s="1"/>
      <c r="O313" s="1"/>
      <c r="P313" s="1"/>
      <c r="Q313" s="1"/>
      <c r="R313" s="1"/>
    </row>
    <row r="314" ht="24.75" customHeight="1">
      <c r="A314" s="1"/>
      <c r="B314" s="1" t="str">
        <f>IF(EDATE(DATE(YEAR(IF(COUNT(Inversiones!$F$30:$F$149)=0,'Configuración'!$C$8,MIN(Inversiones!$F$30:$F$149))),MONTH(IF(COUNT(Inversiones!$F$30:$F$149)=0,'Configuración'!$C$8,MIN(Inversiones!$F$30:$F$149))),1),INT(36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(36/MAX(1,COUNTA(Inversiones!$B$30:$B$149)))))</f>
        <v/>
      </c>
      <c r="C314" s="1" t="str">
        <f>IFERROR(__xludf.DUMMYFUNCTION("IF(B314="""","""",IFERROR(INDEX(FILTER(Inversiones!$B$30:$B$149,Inversiones!$B$30:$B$149&lt;&gt;""""),MOD(36,MAX(1,COUNTA(Inversiones!$B$30:$B$149)))+1),""""))"),"")</f>
        <v/>
      </c>
      <c r="D314" s="1" t="str">
        <f>IF(C314="","",MIN(EOMONTH(B314,0),'Configuración'!$C$8))</f>
        <v/>
      </c>
      <c r="E314" s="1">
        <f t="array" ref="E314">IF(C314="",0,IF(D314&lt;INDEX(Inversiones!$F$30:$F$149,MATCH(C314,Inversiones!$B$30:$B$149,0)),0,1))</f>
        <v>0</v>
      </c>
      <c r="F314" s="66" t="str">
        <f t="array" ref="F314">IF(E314=0,"",INDEX(Inversiones!$G$30:$G$149,MATCH(C314,Inversiones!$B$30:$B$149,0))+SUMIFS(Inversiones!$F$156:$F$285,Inversiones!$D$156:$D$285,C314,Inversiones!$C$156:$C$285,"&gt;="&amp;INDEX(Inversiones!$F$30:$F$149,MATCH(C314,Inversiones!$B$30:$B$149,0)),Inversiones!$C$156:$C$285,"&lt;="&amp;D314,Inversiones!$E$156:$E$285,"Compra")-SUMIFS(Inversiones!$F$156:$F$285,Inversiones!$D$156:$D$285,C314,Inversiones!$C$156:$C$285,"&gt;="&amp;INDEX(Inversiones!$F$30:$F$149,MATCH(C314,Inversiones!$B$30:$B$149,0)),Inversiones!$C$156:$C$285,"&lt;="&amp;D314,Inversiones!$E$156:$E$285,"Venta"))</f>
        <v/>
      </c>
      <c r="G314" s="39" t="str">
        <f t="array" ref="G314">IF(E314=0,"",INDEX(Inversiones!$H$30:$H$149,MATCH(C314,Inversiones!$B$30:$B$149,0))+SUMIFS(Inversiones!$J$156:$J$285,Inversiones!$D$156:$D$285,C314,Inversiones!$C$156:$C$285,"&gt;="&amp;INDEX(Inversiones!$F$30:$F$149,MATCH(C314,Inversiones!$B$30:$B$149,0)),Inversiones!$C$156:$C$285,"&lt;="&amp;D314,Inversiones!$E$156:$E$285,"Compra")-SUMIFS(Inversiones!$J$156:$J$285,Inversiones!$D$156:$D$285,C314,Inversiones!$C$156:$C$285,"&gt;="&amp;INDEX(Inversiones!$F$30:$F$149,MATCH(C314,Inversiones!$B$30:$B$149,0)),Inversiones!$C$156:$C$285,"&lt;="&amp;D314,Inversiones!$E$156:$E$285,"Venta"))</f>
        <v/>
      </c>
      <c r="H314" s="1" t="str">
        <f>IF(E314=0,"",MAXIFS(Inversiones!$C$292:$C$921,Inversiones!$B$292:$B$921,C314,Inversiones!$C$292:$C$921,"&lt;="&amp;D314))</f>
        <v/>
      </c>
      <c r="I314" s="1" t="str">
        <f>IF(OR(E314=0,H314=0),"",SUMIFS(Inversiones!$D$292:$D$921,Inversiones!$B$292:$B$921,C314,Inversiones!$C$292:$C$921,H314))</f>
        <v/>
      </c>
      <c r="J314" s="1" t="str">
        <f t="shared" si="9"/>
        <v/>
      </c>
      <c r="K314" s="1">
        <f t="shared" si="10"/>
        <v>0</v>
      </c>
      <c r="L314" s="1"/>
      <c r="M314" s="1"/>
      <c r="N314" s="1"/>
      <c r="O314" s="1"/>
      <c r="P314" s="1"/>
      <c r="Q314" s="1"/>
      <c r="R314" s="1"/>
    </row>
    <row r="315" ht="24.75" customHeight="1">
      <c r="A315" s="1"/>
      <c r="B315" s="1" t="str">
        <f>IF(EDATE(DATE(YEAR(IF(COUNT(Inversiones!$F$30:$F$149)=0,'Configuración'!$C$8,MIN(Inversiones!$F$30:$F$149))),MONTH(IF(COUNT(Inversiones!$F$30:$F$149)=0,'Configuración'!$C$8,MIN(Inversiones!$F$30:$F$149))),1),INT(37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(37/MAX(1,COUNTA(Inversiones!$B$30:$B$149)))))</f>
        <v/>
      </c>
      <c r="C315" s="1" t="str">
        <f>IFERROR(__xludf.DUMMYFUNCTION("IF(B315="""","""",IFERROR(INDEX(FILTER(Inversiones!$B$30:$B$149,Inversiones!$B$30:$B$149&lt;&gt;""""),MOD(37,MAX(1,COUNTA(Inversiones!$B$30:$B$149)))+1),""""))"),"")</f>
        <v/>
      </c>
      <c r="D315" s="1" t="str">
        <f>IF(C315="","",MIN(EOMONTH(B315,0),'Configuración'!$C$8))</f>
        <v/>
      </c>
      <c r="E315" s="1">
        <f t="array" ref="E315">IF(C315="",0,IF(D315&lt;INDEX(Inversiones!$F$30:$F$149,MATCH(C315,Inversiones!$B$30:$B$149,0)),0,1))</f>
        <v>0</v>
      </c>
      <c r="F315" s="1" t="str">
        <f t="array" ref="F315">IF(E315=0,"",INDEX(Inversiones!$G$30:$G$149,MATCH(C315,Inversiones!$B$30:$B$149,0))+SUMIFS(Inversiones!$F$156:$F$285,Inversiones!$D$156:$D$285,C315,Inversiones!$C$156:$C$285,"&gt;="&amp;INDEX(Inversiones!$F$30:$F$149,MATCH(C315,Inversiones!$B$30:$B$149,0)),Inversiones!$C$156:$C$285,"&lt;="&amp;D315,Inversiones!$E$156:$E$285,"Compra")-SUMIFS(Inversiones!$F$156:$F$285,Inversiones!$D$156:$D$285,C315,Inversiones!$C$156:$C$285,"&gt;="&amp;INDEX(Inversiones!$F$30:$F$149,MATCH(C315,Inversiones!$B$30:$B$149,0)),Inversiones!$C$156:$C$285,"&lt;="&amp;D315,Inversiones!$E$156:$E$285,"Venta"))</f>
        <v/>
      </c>
      <c r="G315" s="1" t="str">
        <f t="array" ref="G315">IF(E315=0,"",INDEX(Inversiones!$H$30:$H$149,MATCH(C315,Inversiones!$B$30:$B$149,0))+SUMIFS(Inversiones!$J$156:$J$285,Inversiones!$D$156:$D$285,C315,Inversiones!$C$156:$C$285,"&gt;="&amp;INDEX(Inversiones!$F$30:$F$149,MATCH(C315,Inversiones!$B$30:$B$149,0)),Inversiones!$C$156:$C$285,"&lt;="&amp;D315,Inversiones!$E$156:$E$285,"Compra")-SUMIFS(Inversiones!$J$156:$J$285,Inversiones!$D$156:$D$285,C315,Inversiones!$C$156:$C$285,"&gt;="&amp;INDEX(Inversiones!$F$30:$F$149,MATCH(C315,Inversiones!$B$30:$B$149,0)),Inversiones!$C$156:$C$285,"&lt;="&amp;D315,Inversiones!$E$156:$E$285,"Venta"))</f>
        <v/>
      </c>
      <c r="H315" s="1" t="str">
        <f>IF(E315=0,"",MAXIFS(Inversiones!$C$292:$C$921,Inversiones!$B$292:$B$921,C315,Inversiones!$C$292:$C$921,"&lt;="&amp;D315))</f>
        <v/>
      </c>
      <c r="I315" s="1" t="str">
        <f>IF(OR(E315=0,H315=0),"",SUMIFS(Inversiones!$D$292:$D$921,Inversiones!$B$292:$B$921,C315,Inversiones!$C$292:$C$921,H315))</f>
        <v/>
      </c>
      <c r="J315" s="1" t="str">
        <f t="shared" si="9"/>
        <v/>
      </c>
      <c r="K315" s="1">
        <f t="shared" si="10"/>
        <v>0</v>
      </c>
      <c r="L315" s="1"/>
      <c r="M315" s="1"/>
      <c r="N315" s="1"/>
      <c r="O315" s="1"/>
      <c r="P315" s="1"/>
      <c r="Q315" s="1"/>
      <c r="R315" s="1"/>
    </row>
    <row r="316" ht="24.75" customHeight="1">
      <c r="A316" s="1"/>
      <c r="B316" s="1" t="str">
        <f>IF(EDATE(DATE(YEAR(IF(COUNT(Inversiones!$F$30:$F$149)=0,'Configuración'!$C$8,MIN(Inversiones!$F$30:$F$149))),MONTH(IF(COUNT(Inversiones!$F$30:$F$149)=0,'Configuración'!$C$8,MIN(Inversiones!$F$30:$F$149))),1),INT(38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(38/MAX(1,COUNTA(Inversiones!$B$30:$B$149)))))</f>
        <v/>
      </c>
      <c r="C316" s="1" t="str">
        <f>IFERROR(__xludf.DUMMYFUNCTION("IF(B316="""","""",IFERROR(INDEX(FILTER(Inversiones!$B$30:$B$149,Inversiones!$B$30:$B$149&lt;&gt;""""),MOD(38,MAX(1,COUNTA(Inversiones!$B$30:$B$149)))+1),""""))"),"")</f>
        <v/>
      </c>
      <c r="D316" s="1" t="str">
        <f>IF(C316="","",MIN(EOMONTH(B316,0),'Configuración'!$C$8))</f>
        <v/>
      </c>
      <c r="E316" s="1">
        <f t="array" ref="E316">IF(C316="",0,IF(D316&lt;INDEX(Inversiones!$F$30:$F$149,MATCH(C316,Inversiones!$B$30:$B$149,0)),0,1))</f>
        <v>0</v>
      </c>
      <c r="F316" s="1" t="str">
        <f t="array" ref="F316">IF(E316=0,"",INDEX(Inversiones!$G$30:$G$149,MATCH(C316,Inversiones!$B$30:$B$149,0))+SUMIFS(Inversiones!$F$156:$F$285,Inversiones!$D$156:$D$285,C316,Inversiones!$C$156:$C$285,"&gt;="&amp;INDEX(Inversiones!$F$30:$F$149,MATCH(C316,Inversiones!$B$30:$B$149,0)),Inversiones!$C$156:$C$285,"&lt;="&amp;D316,Inversiones!$E$156:$E$285,"Compra")-SUMIFS(Inversiones!$F$156:$F$285,Inversiones!$D$156:$D$285,C316,Inversiones!$C$156:$C$285,"&gt;="&amp;INDEX(Inversiones!$F$30:$F$149,MATCH(C316,Inversiones!$B$30:$B$149,0)),Inversiones!$C$156:$C$285,"&lt;="&amp;D316,Inversiones!$E$156:$E$285,"Venta"))</f>
        <v/>
      </c>
      <c r="G316" s="1" t="str">
        <f t="array" ref="G316">IF(E316=0,"",INDEX(Inversiones!$H$30:$H$149,MATCH(C316,Inversiones!$B$30:$B$149,0))+SUMIFS(Inversiones!$J$156:$J$285,Inversiones!$D$156:$D$285,C316,Inversiones!$C$156:$C$285,"&gt;="&amp;INDEX(Inversiones!$F$30:$F$149,MATCH(C316,Inversiones!$B$30:$B$149,0)),Inversiones!$C$156:$C$285,"&lt;="&amp;D316,Inversiones!$E$156:$E$285,"Compra")-SUMIFS(Inversiones!$J$156:$J$285,Inversiones!$D$156:$D$285,C316,Inversiones!$C$156:$C$285,"&gt;="&amp;INDEX(Inversiones!$F$30:$F$149,MATCH(C316,Inversiones!$B$30:$B$149,0)),Inversiones!$C$156:$C$285,"&lt;="&amp;D316,Inversiones!$E$156:$E$285,"Venta"))</f>
        <v/>
      </c>
      <c r="H316" s="1" t="str">
        <f>IF(E316=0,"",MAXIFS(Inversiones!$C$292:$C$921,Inversiones!$B$292:$B$921,C316,Inversiones!$C$292:$C$921,"&lt;="&amp;D316))</f>
        <v/>
      </c>
      <c r="I316" s="1" t="str">
        <f>IF(OR(E316=0,H316=0),"",SUMIFS(Inversiones!$D$292:$D$921,Inversiones!$B$292:$B$921,C316,Inversiones!$C$292:$C$921,H316))</f>
        <v/>
      </c>
      <c r="J316" s="1" t="str">
        <f t="shared" si="9"/>
        <v/>
      </c>
      <c r="K316" s="1">
        <f t="shared" si="10"/>
        <v>0</v>
      </c>
      <c r="L316" s="1"/>
      <c r="M316" s="1"/>
      <c r="N316" s="1"/>
      <c r="O316" s="1"/>
      <c r="P316" s="1"/>
      <c r="Q316" s="1"/>
      <c r="R316" s="1"/>
    </row>
    <row r="317" ht="24.75" customHeight="1">
      <c r="A317" s="1"/>
      <c r="B317" s="1" t="str">
        <f>IF(EDATE(DATE(YEAR(IF(COUNT(Inversiones!$F$30:$F$149)=0,'Configuración'!$C$8,MIN(Inversiones!$F$30:$F$149))),MONTH(IF(COUNT(Inversiones!$F$30:$F$149)=0,'Configuración'!$C$8,MIN(Inversiones!$F$30:$F$149))),1),INT(39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(39/MAX(1,COUNTA(Inversiones!$B$30:$B$149)))))</f>
        <v/>
      </c>
      <c r="C317" s="1" t="str">
        <f>IFERROR(__xludf.DUMMYFUNCTION("IF(B317="""","""",IFERROR(INDEX(FILTER(Inversiones!$B$30:$B$149,Inversiones!$B$30:$B$149&lt;&gt;""""),MOD(39,MAX(1,COUNTA(Inversiones!$B$30:$B$149)))+1),""""))"),"")</f>
        <v/>
      </c>
      <c r="D317" s="1" t="str">
        <f>IF(C317="","",MIN(EOMONTH(B317,0),'Configuración'!$C$8))</f>
        <v/>
      </c>
      <c r="E317" s="1">
        <f t="array" ref="E317">IF(C317="",0,IF(D317&lt;INDEX(Inversiones!$F$30:$F$149,MATCH(C317,Inversiones!$B$30:$B$149,0)),0,1))</f>
        <v>0</v>
      </c>
      <c r="F317" s="66" t="str">
        <f t="array" ref="F317">IF(E317=0,"",INDEX(Inversiones!$G$30:$G$149,MATCH(C317,Inversiones!$B$30:$B$149,0))+SUMIFS(Inversiones!$F$156:$F$285,Inversiones!$D$156:$D$285,C317,Inversiones!$C$156:$C$285,"&gt;="&amp;INDEX(Inversiones!$F$30:$F$149,MATCH(C317,Inversiones!$B$30:$B$149,0)),Inversiones!$C$156:$C$285,"&lt;="&amp;D317,Inversiones!$E$156:$E$285,"Compra")-SUMIFS(Inversiones!$F$156:$F$285,Inversiones!$D$156:$D$285,C317,Inversiones!$C$156:$C$285,"&gt;="&amp;INDEX(Inversiones!$F$30:$F$149,MATCH(C317,Inversiones!$B$30:$B$149,0)),Inversiones!$C$156:$C$285,"&lt;="&amp;D317,Inversiones!$E$156:$E$285,"Venta"))</f>
        <v/>
      </c>
      <c r="G317" s="39" t="str">
        <f t="array" ref="G317">IF(E317=0,"",INDEX(Inversiones!$H$30:$H$149,MATCH(C317,Inversiones!$B$30:$B$149,0))+SUMIFS(Inversiones!$J$156:$J$285,Inversiones!$D$156:$D$285,C317,Inversiones!$C$156:$C$285,"&gt;="&amp;INDEX(Inversiones!$F$30:$F$149,MATCH(C317,Inversiones!$B$30:$B$149,0)),Inversiones!$C$156:$C$285,"&lt;="&amp;D317,Inversiones!$E$156:$E$285,"Compra")-SUMIFS(Inversiones!$J$156:$J$285,Inversiones!$D$156:$D$285,C317,Inversiones!$C$156:$C$285,"&gt;="&amp;INDEX(Inversiones!$F$30:$F$149,MATCH(C317,Inversiones!$B$30:$B$149,0)),Inversiones!$C$156:$C$285,"&lt;="&amp;D317,Inversiones!$E$156:$E$285,"Venta"))</f>
        <v/>
      </c>
      <c r="H317" s="1" t="str">
        <f>IF(E317=0,"",MAXIFS(Inversiones!$C$292:$C$921,Inversiones!$B$292:$B$921,C317,Inversiones!$C$292:$C$921,"&lt;="&amp;D317))</f>
        <v/>
      </c>
      <c r="I317" s="1" t="str">
        <f>IF(OR(E317=0,H317=0),"",SUMIFS(Inversiones!$D$292:$D$921,Inversiones!$B$292:$B$921,C317,Inversiones!$C$292:$C$921,H317))</f>
        <v/>
      </c>
      <c r="J317" s="1" t="str">
        <f t="shared" si="9"/>
        <v/>
      </c>
      <c r="K317" s="1">
        <f t="shared" si="10"/>
        <v>0</v>
      </c>
      <c r="L317" s="1"/>
      <c r="M317" s="1"/>
      <c r="N317" s="1"/>
      <c r="O317" s="1"/>
      <c r="P317" s="1"/>
      <c r="Q317" s="1"/>
      <c r="R317" s="1"/>
    </row>
    <row r="318" ht="24.75" customHeight="1">
      <c r="A318" s="1"/>
      <c r="B318" s="1" t="str">
        <f>IF(EDATE(DATE(YEAR(IF(COUNT(Inversiones!$F$30:$F$149)=0,'Configuración'!$C$8,MIN(Inversiones!$F$30:$F$149))),MONTH(IF(COUNT(Inversiones!$F$30:$F$149)=0,'Configuración'!$C$8,MIN(Inversiones!$F$30:$F$149))),1),INT(40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(40/MAX(1,COUNTA(Inversiones!$B$30:$B$149)))))</f>
        <v/>
      </c>
      <c r="C318" s="1" t="str">
        <f>IFERROR(__xludf.DUMMYFUNCTION("IF(B318="""","""",IFERROR(INDEX(FILTER(Inversiones!$B$30:$B$149,Inversiones!$B$30:$B$149&lt;&gt;""""),MOD(40,MAX(1,COUNTA(Inversiones!$B$30:$B$149)))+1),""""))"),"")</f>
        <v/>
      </c>
      <c r="D318" s="1" t="str">
        <f>IF(C318="","",MIN(EOMONTH(B318,0),'Configuración'!$C$8))</f>
        <v/>
      </c>
      <c r="E318" s="1">
        <f t="array" ref="E318">IF(C318="",0,IF(D318&lt;INDEX(Inversiones!$F$30:$F$149,MATCH(C318,Inversiones!$B$30:$B$149,0)),0,1))</f>
        <v>0</v>
      </c>
      <c r="F318" s="1" t="str">
        <f t="array" ref="F318">IF(E318=0,"",INDEX(Inversiones!$G$30:$G$149,MATCH(C318,Inversiones!$B$30:$B$149,0))+SUMIFS(Inversiones!$F$156:$F$285,Inversiones!$D$156:$D$285,C318,Inversiones!$C$156:$C$285,"&gt;="&amp;INDEX(Inversiones!$F$30:$F$149,MATCH(C318,Inversiones!$B$30:$B$149,0)),Inversiones!$C$156:$C$285,"&lt;="&amp;D318,Inversiones!$E$156:$E$285,"Compra")-SUMIFS(Inversiones!$F$156:$F$285,Inversiones!$D$156:$D$285,C318,Inversiones!$C$156:$C$285,"&gt;="&amp;INDEX(Inversiones!$F$30:$F$149,MATCH(C318,Inversiones!$B$30:$B$149,0)),Inversiones!$C$156:$C$285,"&lt;="&amp;D318,Inversiones!$E$156:$E$285,"Venta"))</f>
        <v/>
      </c>
      <c r="G318" s="1" t="str">
        <f t="array" ref="G318">IF(E318=0,"",INDEX(Inversiones!$H$30:$H$149,MATCH(C318,Inversiones!$B$30:$B$149,0))+SUMIFS(Inversiones!$J$156:$J$285,Inversiones!$D$156:$D$285,C318,Inversiones!$C$156:$C$285,"&gt;="&amp;INDEX(Inversiones!$F$30:$F$149,MATCH(C318,Inversiones!$B$30:$B$149,0)),Inversiones!$C$156:$C$285,"&lt;="&amp;D318,Inversiones!$E$156:$E$285,"Compra")-SUMIFS(Inversiones!$J$156:$J$285,Inversiones!$D$156:$D$285,C318,Inversiones!$C$156:$C$285,"&gt;="&amp;INDEX(Inversiones!$F$30:$F$149,MATCH(C318,Inversiones!$B$30:$B$149,0)),Inversiones!$C$156:$C$285,"&lt;="&amp;D318,Inversiones!$E$156:$E$285,"Venta"))</f>
        <v/>
      </c>
      <c r="H318" s="1" t="str">
        <f>IF(E318=0,"",MAXIFS(Inversiones!$C$292:$C$921,Inversiones!$B$292:$B$921,C318,Inversiones!$C$292:$C$921,"&lt;="&amp;D318))</f>
        <v/>
      </c>
      <c r="I318" s="1" t="str">
        <f>IF(OR(E318=0,H318=0),"",SUMIFS(Inversiones!$D$292:$D$921,Inversiones!$B$292:$B$921,C318,Inversiones!$C$292:$C$921,H318))</f>
        <v/>
      </c>
      <c r="J318" s="1" t="str">
        <f t="shared" si="9"/>
        <v/>
      </c>
      <c r="K318" s="1">
        <f t="shared" si="10"/>
        <v>0</v>
      </c>
      <c r="L318" s="1"/>
      <c r="M318" s="1"/>
      <c r="N318" s="1"/>
      <c r="O318" s="1"/>
      <c r="P318" s="1"/>
      <c r="Q318" s="1"/>
      <c r="R318" s="1"/>
    </row>
    <row r="319" ht="24.75" customHeight="1">
      <c r="A319" s="1"/>
      <c r="B319" s="1" t="str">
        <f>IF(EDATE(DATE(YEAR(IF(COUNT(Inversiones!$F$30:$F$149)=0,'Configuración'!$C$8,MIN(Inversiones!$F$30:$F$149))),MONTH(IF(COUNT(Inversiones!$F$30:$F$149)=0,'Configuración'!$C$8,MIN(Inversiones!$F$30:$F$149))),1),INT(41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(41/MAX(1,COUNTA(Inversiones!$B$30:$B$149)))))</f>
        <v/>
      </c>
      <c r="C319" s="1" t="str">
        <f>IFERROR(__xludf.DUMMYFUNCTION("IF(B319="""","""",IFERROR(INDEX(FILTER(Inversiones!$B$30:$B$149,Inversiones!$B$30:$B$149&lt;&gt;""""),MOD(41,MAX(1,COUNTA(Inversiones!$B$30:$B$149)))+1),""""))"),"")</f>
        <v/>
      </c>
      <c r="D319" s="1" t="str">
        <f>IF(C319="","",MIN(EOMONTH(B319,0),'Configuración'!$C$8))</f>
        <v/>
      </c>
      <c r="E319" s="1">
        <f t="array" ref="E319">IF(C319="",0,IF(D319&lt;INDEX(Inversiones!$F$30:$F$149,MATCH(C319,Inversiones!$B$30:$B$149,0)),0,1))</f>
        <v>0</v>
      </c>
      <c r="F319" s="1" t="str">
        <f t="array" ref="F319">IF(E319=0,"",INDEX(Inversiones!$G$30:$G$149,MATCH(C319,Inversiones!$B$30:$B$149,0))+SUMIFS(Inversiones!$F$156:$F$285,Inversiones!$D$156:$D$285,C319,Inversiones!$C$156:$C$285,"&gt;="&amp;INDEX(Inversiones!$F$30:$F$149,MATCH(C319,Inversiones!$B$30:$B$149,0)),Inversiones!$C$156:$C$285,"&lt;="&amp;D319,Inversiones!$E$156:$E$285,"Compra")-SUMIFS(Inversiones!$F$156:$F$285,Inversiones!$D$156:$D$285,C319,Inversiones!$C$156:$C$285,"&gt;="&amp;INDEX(Inversiones!$F$30:$F$149,MATCH(C319,Inversiones!$B$30:$B$149,0)),Inversiones!$C$156:$C$285,"&lt;="&amp;D319,Inversiones!$E$156:$E$285,"Venta"))</f>
        <v/>
      </c>
      <c r="G319" s="1" t="str">
        <f t="array" ref="G319">IF(E319=0,"",INDEX(Inversiones!$H$30:$H$149,MATCH(C319,Inversiones!$B$30:$B$149,0))+SUMIFS(Inversiones!$J$156:$J$285,Inversiones!$D$156:$D$285,C319,Inversiones!$C$156:$C$285,"&gt;="&amp;INDEX(Inversiones!$F$30:$F$149,MATCH(C319,Inversiones!$B$30:$B$149,0)),Inversiones!$C$156:$C$285,"&lt;="&amp;D319,Inversiones!$E$156:$E$285,"Compra")-SUMIFS(Inversiones!$J$156:$J$285,Inversiones!$D$156:$D$285,C319,Inversiones!$C$156:$C$285,"&gt;="&amp;INDEX(Inversiones!$F$30:$F$149,MATCH(C319,Inversiones!$B$30:$B$149,0)),Inversiones!$C$156:$C$285,"&lt;="&amp;D319,Inversiones!$E$156:$E$285,"Venta"))</f>
        <v/>
      </c>
      <c r="H319" s="1" t="str">
        <f>IF(E319=0,"",MAXIFS(Inversiones!$C$292:$C$921,Inversiones!$B$292:$B$921,C319,Inversiones!$C$292:$C$921,"&lt;="&amp;D319))</f>
        <v/>
      </c>
      <c r="I319" s="1" t="str">
        <f>IF(OR(E319=0,H319=0),"",SUMIFS(Inversiones!$D$292:$D$921,Inversiones!$B$292:$B$921,C319,Inversiones!$C$292:$C$921,H319))</f>
        <v/>
      </c>
      <c r="J319" s="1" t="str">
        <f t="shared" si="9"/>
        <v/>
      </c>
      <c r="K319" s="1">
        <f t="shared" si="10"/>
        <v>0</v>
      </c>
      <c r="L319" s="1"/>
      <c r="M319" s="1"/>
      <c r="N319" s="1"/>
      <c r="O319" s="1"/>
      <c r="P319" s="1"/>
      <c r="Q319" s="1"/>
      <c r="R319" s="1"/>
    </row>
    <row r="320" ht="24.75" customHeight="1">
      <c r="A320" s="1"/>
      <c r="B320" s="1" t="str">
        <f>IF(EDATE(DATE(YEAR(IF(COUNT(Inversiones!$F$30:$F$149)=0,'Configuración'!$C$8,MIN(Inversiones!$F$30:$F$149))),MONTH(IF(COUNT(Inversiones!$F$30:$F$149)=0,'Configuración'!$C$8,MIN(Inversiones!$F$30:$F$149))),1),INT(42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(42/MAX(1,COUNTA(Inversiones!$B$30:$B$149)))))</f>
        <v/>
      </c>
      <c r="C320" s="1" t="str">
        <f>IFERROR(__xludf.DUMMYFUNCTION("IF(B320="""","""",IFERROR(INDEX(FILTER(Inversiones!$B$30:$B$149,Inversiones!$B$30:$B$149&lt;&gt;""""),MOD(42,MAX(1,COUNTA(Inversiones!$B$30:$B$149)))+1),""""))"),"")</f>
        <v/>
      </c>
      <c r="D320" s="1" t="str">
        <f>IF(C320="","",MIN(EOMONTH(B320,0),'Configuración'!$C$8))</f>
        <v/>
      </c>
      <c r="E320" s="1">
        <f t="array" ref="E320">IF(C320="",0,IF(D320&lt;INDEX(Inversiones!$F$30:$F$149,MATCH(C320,Inversiones!$B$30:$B$149,0)),0,1))</f>
        <v>0</v>
      </c>
      <c r="F320" s="66" t="str">
        <f t="array" ref="F320">IF(E320=0,"",INDEX(Inversiones!$G$30:$G$149,MATCH(C320,Inversiones!$B$30:$B$149,0))+SUMIFS(Inversiones!$F$156:$F$285,Inversiones!$D$156:$D$285,C320,Inversiones!$C$156:$C$285,"&gt;="&amp;INDEX(Inversiones!$F$30:$F$149,MATCH(C320,Inversiones!$B$30:$B$149,0)),Inversiones!$C$156:$C$285,"&lt;="&amp;D320,Inversiones!$E$156:$E$285,"Compra")-SUMIFS(Inversiones!$F$156:$F$285,Inversiones!$D$156:$D$285,C320,Inversiones!$C$156:$C$285,"&gt;="&amp;INDEX(Inversiones!$F$30:$F$149,MATCH(C320,Inversiones!$B$30:$B$149,0)),Inversiones!$C$156:$C$285,"&lt;="&amp;D320,Inversiones!$E$156:$E$285,"Venta"))</f>
        <v/>
      </c>
      <c r="G320" s="39" t="str">
        <f t="array" ref="G320">IF(E320=0,"",INDEX(Inversiones!$H$30:$H$149,MATCH(C320,Inversiones!$B$30:$B$149,0))+SUMIFS(Inversiones!$J$156:$J$285,Inversiones!$D$156:$D$285,C320,Inversiones!$C$156:$C$285,"&gt;="&amp;INDEX(Inversiones!$F$30:$F$149,MATCH(C320,Inversiones!$B$30:$B$149,0)),Inversiones!$C$156:$C$285,"&lt;="&amp;D320,Inversiones!$E$156:$E$285,"Compra")-SUMIFS(Inversiones!$J$156:$J$285,Inversiones!$D$156:$D$285,C320,Inversiones!$C$156:$C$285,"&gt;="&amp;INDEX(Inversiones!$F$30:$F$149,MATCH(C320,Inversiones!$B$30:$B$149,0)),Inversiones!$C$156:$C$285,"&lt;="&amp;D320,Inversiones!$E$156:$E$285,"Venta"))</f>
        <v/>
      </c>
      <c r="H320" s="1" t="str">
        <f>IF(E320=0,"",MAXIFS(Inversiones!$C$292:$C$921,Inversiones!$B$292:$B$921,C320,Inversiones!$C$292:$C$921,"&lt;="&amp;D320))</f>
        <v/>
      </c>
      <c r="I320" s="1" t="str">
        <f>IF(OR(E320=0,H320=0),"",SUMIFS(Inversiones!$D$292:$D$921,Inversiones!$B$292:$B$921,C320,Inversiones!$C$292:$C$921,H320))</f>
        <v/>
      </c>
      <c r="J320" s="1" t="str">
        <f t="shared" si="9"/>
        <v/>
      </c>
      <c r="K320" s="1">
        <f t="shared" si="10"/>
        <v>0</v>
      </c>
      <c r="L320" s="1"/>
      <c r="M320" s="1"/>
      <c r="N320" s="1"/>
      <c r="O320" s="1"/>
      <c r="P320" s="1"/>
      <c r="Q320" s="1"/>
      <c r="R320" s="1"/>
    </row>
    <row r="321" ht="24.75" customHeight="1">
      <c r="A321" s="1"/>
      <c r="B321" s="1" t="str">
        <f>IF(EDATE(DATE(YEAR(IF(COUNT(Inversiones!$F$30:$F$149)=0,'Configuración'!$C$8,MIN(Inversiones!$F$30:$F$149))),MONTH(IF(COUNT(Inversiones!$F$30:$F$149)=0,'Configuración'!$C$8,MIN(Inversiones!$F$30:$F$149))),1),INT(43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(43/MAX(1,COUNTA(Inversiones!$B$30:$B$149)))))</f>
        <v/>
      </c>
      <c r="C321" s="1" t="str">
        <f>IFERROR(__xludf.DUMMYFUNCTION("IF(B321="""","""",IFERROR(INDEX(FILTER(Inversiones!$B$30:$B$149,Inversiones!$B$30:$B$149&lt;&gt;""""),MOD(43,MAX(1,COUNTA(Inversiones!$B$30:$B$149)))+1),""""))"),"")</f>
        <v/>
      </c>
      <c r="D321" s="1" t="str">
        <f>IF(C321="","",MIN(EOMONTH(B321,0),'Configuración'!$C$8))</f>
        <v/>
      </c>
      <c r="E321" s="1">
        <f t="array" ref="E321">IF(C321="",0,IF(D321&lt;INDEX(Inversiones!$F$30:$F$149,MATCH(C321,Inversiones!$B$30:$B$149,0)),0,1))</f>
        <v>0</v>
      </c>
      <c r="F321" s="1" t="str">
        <f t="array" ref="F321">IF(E321=0,"",INDEX(Inversiones!$G$30:$G$149,MATCH(C321,Inversiones!$B$30:$B$149,0))+SUMIFS(Inversiones!$F$156:$F$285,Inversiones!$D$156:$D$285,C321,Inversiones!$C$156:$C$285,"&gt;="&amp;INDEX(Inversiones!$F$30:$F$149,MATCH(C321,Inversiones!$B$30:$B$149,0)),Inversiones!$C$156:$C$285,"&lt;="&amp;D321,Inversiones!$E$156:$E$285,"Compra")-SUMIFS(Inversiones!$F$156:$F$285,Inversiones!$D$156:$D$285,C321,Inversiones!$C$156:$C$285,"&gt;="&amp;INDEX(Inversiones!$F$30:$F$149,MATCH(C321,Inversiones!$B$30:$B$149,0)),Inversiones!$C$156:$C$285,"&lt;="&amp;D321,Inversiones!$E$156:$E$285,"Venta"))</f>
        <v/>
      </c>
      <c r="G321" s="1" t="str">
        <f t="array" ref="G321">IF(E321=0,"",INDEX(Inversiones!$H$30:$H$149,MATCH(C321,Inversiones!$B$30:$B$149,0))+SUMIFS(Inversiones!$J$156:$J$285,Inversiones!$D$156:$D$285,C321,Inversiones!$C$156:$C$285,"&gt;="&amp;INDEX(Inversiones!$F$30:$F$149,MATCH(C321,Inversiones!$B$30:$B$149,0)),Inversiones!$C$156:$C$285,"&lt;="&amp;D321,Inversiones!$E$156:$E$285,"Compra")-SUMIFS(Inversiones!$J$156:$J$285,Inversiones!$D$156:$D$285,C321,Inversiones!$C$156:$C$285,"&gt;="&amp;INDEX(Inversiones!$F$30:$F$149,MATCH(C321,Inversiones!$B$30:$B$149,0)),Inversiones!$C$156:$C$285,"&lt;="&amp;D321,Inversiones!$E$156:$E$285,"Venta"))</f>
        <v/>
      </c>
      <c r="H321" s="1" t="str">
        <f>IF(E321=0,"",MAXIFS(Inversiones!$C$292:$C$921,Inversiones!$B$292:$B$921,C321,Inversiones!$C$292:$C$921,"&lt;="&amp;D321))</f>
        <v/>
      </c>
      <c r="I321" s="1" t="str">
        <f>IF(OR(E321=0,H321=0),"",SUMIFS(Inversiones!$D$292:$D$921,Inversiones!$B$292:$B$921,C321,Inversiones!$C$292:$C$921,H321))</f>
        <v/>
      </c>
      <c r="J321" s="1" t="str">
        <f t="shared" si="9"/>
        <v/>
      </c>
      <c r="K321" s="1">
        <f t="shared" si="10"/>
        <v>0</v>
      </c>
      <c r="L321" s="1"/>
      <c r="M321" s="1"/>
      <c r="N321" s="1"/>
      <c r="O321" s="1"/>
      <c r="P321" s="1"/>
      <c r="Q321" s="1"/>
      <c r="R321" s="1"/>
    </row>
    <row r="322" ht="24.75" customHeight="1">
      <c r="A322" s="1"/>
      <c r="B322" s="1" t="str">
        <f>IF(EDATE(DATE(YEAR(IF(COUNT(Inversiones!$F$30:$F$149)=0,'Configuración'!$C$8,MIN(Inversiones!$F$30:$F$149))),MONTH(IF(COUNT(Inversiones!$F$30:$F$149)=0,'Configuración'!$C$8,MIN(Inversiones!$F$30:$F$149))),1),INT(44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(44/MAX(1,COUNTA(Inversiones!$B$30:$B$149)))))</f>
        <v/>
      </c>
      <c r="C322" s="1" t="str">
        <f>IFERROR(__xludf.DUMMYFUNCTION("IF(B322="""","""",IFERROR(INDEX(FILTER(Inversiones!$B$30:$B$149,Inversiones!$B$30:$B$149&lt;&gt;""""),MOD(44,MAX(1,COUNTA(Inversiones!$B$30:$B$149)))+1),""""))"),"")</f>
        <v/>
      </c>
      <c r="D322" s="1" t="str">
        <f>IF(C322="","",MIN(EOMONTH(B322,0),'Configuración'!$C$8))</f>
        <v/>
      </c>
      <c r="E322" s="1">
        <f t="array" ref="E322">IF(C322="",0,IF(D322&lt;INDEX(Inversiones!$F$30:$F$149,MATCH(C322,Inversiones!$B$30:$B$149,0)),0,1))</f>
        <v>0</v>
      </c>
      <c r="F322" s="1" t="str">
        <f t="array" ref="F322">IF(E322=0,"",INDEX(Inversiones!$G$30:$G$149,MATCH(C322,Inversiones!$B$30:$B$149,0))+SUMIFS(Inversiones!$F$156:$F$285,Inversiones!$D$156:$D$285,C322,Inversiones!$C$156:$C$285,"&gt;="&amp;INDEX(Inversiones!$F$30:$F$149,MATCH(C322,Inversiones!$B$30:$B$149,0)),Inversiones!$C$156:$C$285,"&lt;="&amp;D322,Inversiones!$E$156:$E$285,"Compra")-SUMIFS(Inversiones!$F$156:$F$285,Inversiones!$D$156:$D$285,C322,Inversiones!$C$156:$C$285,"&gt;="&amp;INDEX(Inversiones!$F$30:$F$149,MATCH(C322,Inversiones!$B$30:$B$149,0)),Inversiones!$C$156:$C$285,"&lt;="&amp;D322,Inversiones!$E$156:$E$285,"Venta"))</f>
        <v/>
      </c>
      <c r="G322" s="1" t="str">
        <f t="array" ref="G322">IF(E322=0,"",INDEX(Inversiones!$H$30:$H$149,MATCH(C322,Inversiones!$B$30:$B$149,0))+SUMIFS(Inversiones!$J$156:$J$285,Inversiones!$D$156:$D$285,C322,Inversiones!$C$156:$C$285,"&gt;="&amp;INDEX(Inversiones!$F$30:$F$149,MATCH(C322,Inversiones!$B$30:$B$149,0)),Inversiones!$C$156:$C$285,"&lt;="&amp;D322,Inversiones!$E$156:$E$285,"Compra")-SUMIFS(Inversiones!$J$156:$J$285,Inversiones!$D$156:$D$285,C322,Inversiones!$C$156:$C$285,"&gt;="&amp;INDEX(Inversiones!$F$30:$F$149,MATCH(C322,Inversiones!$B$30:$B$149,0)),Inversiones!$C$156:$C$285,"&lt;="&amp;D322,Inversiones!$E$156:$E$285,"Venta"))</f>
        <v/>
      </c>
      <c r="H322" s="1" t="str">
        <f>IF(E322=0,"",MAXIFS(Inversiones!$C$292:$C$921,Inversiones!$B$292:$B$921,C322,Inversiones!$C$292:$C$921,"&lt;="&amp;D322))</f>
        <v/>
      </c>
      <c r="I322" s="1" t="str">
        <f>IF(OR(E322=0,H322=0),"",SUMIFS(Inversiones!$D$292:$D$921,Inversiones!$B$292:$B$921,C322,Inversiones!$C$292:$C$921,H322))</f>
        <v/>
      </c>
      <c r="J322" s="1" t="str">
        <f t="shared" si="9"/>
        <v/>
      </c>
      <c r="K322" s="1">
        <f t="shared" si="10"/>
        <v>0</v>
      </c>
      <c r="L322" s="1"/>
      <c r="M322" s="1"/>
      <c r="N322" s="1"/>
      <c r="O322" s="1"/>
      <c r="P322" s="1"/>
      <c r="Q322" s="1"/>
      <c r="R322" s="1"/>
    </row>
    <row r="323" ht="24.75" customHeight="1">
      <c r="A323" s="1"/>
      <c r="B323" s="1" t="str">
        <f>IF(EDATE(DATE(YEAR(IF(COUNT(Inversiones!$F$30:$F$149)=0,'Configuración'!$C$8,MIN(Inversiones!$F$30:$F$149))),MONTH(IF(COUNT(Inversiones!$F$30:$F$149)=0,'Configuración'!$C$8,MIN(Inversiones!$F$30:$F$149))),1),INT(45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(45/MAX(1,COUNTA(Inversiones!$B$30:$B$149)))))</f>
        <v/>
      </c>
      <c r="C323" s="1" t="str">
        <f>IFERROR(__xludf.DUMMYFUNCTION("IF(B323="""","""",IFERROR(INDEX(FILTER(Inversiones!$B$30:$B$149,Inversiones!$B$30:$B$149&lt;&gt;""""),MOD(45,MAX(1,COUNTA(Inversiones!$B$30:$B$149)))+1),""""))"),"")</f>
        <v/>
      </c>
      <c r="D323" s="1" t="str">
        <f>IF(C323="","",MIN(EOMONTH(B323,0),'Configuración'!$C$8))</f>
        <v/>
      </c>
      <c r="E323" s="1">
        <f t="array" ref="E323">IF(C323="",0,IF(D323&lt;INDEX(Inversiones!$F$30:$F$149,MATCH(C323,Inversiones!$B$30:$B$149,0)),0,1))</f>
        <v>0</v>
      </c>
      <c r="F323" s="66" t="str">
        <f t="array" ref="F323">IF(E323=0,"",INDEX(Inversiones!$G$30:$G$149,MATCH(C323,Inversiones!$B$30:$B$149,0))+SUMIFS(Inversiones!$F$156:$F$285,Inversiones!$D$156:$D$285,C323,Inversiones!$C$156:$C$285,"&gt;="&amp;INDEX(Inversiones!$F$30:$F$149,MATCH(C323,Inversiones!$B$30:$B$149,0)),Inversiones!$C$156:$C$285,"&lt;="&amp;D323,Inversiones!$E$156:$E$285,"Compra")-SUMIFS(Inversiones!$F$156:$F$285,Inversiones!$D$156:$D$285,C323,Inversiones!$C$156:$C$285,"&gt;="&amp;INDEX(Inversiones!$F$30:$F$149,MATCH(C323,Inversiones!$B$30:$B$149,0)),Inversiones!$C$156:$C$285,"&lt;="&amp;D323,Inversiones!$E$156:$E$285,"Venta"))</f>
        <v/>
      </c>
      <c r="G323" s="39" t="str">
        <f t="array" ref="G323">IF(E323=0,"",INDEX(Inversiones!$H$30:$H$149,MATCH(C323,Inversiones!$B$30:$B$149,0))+SUMIFS(Inversiones!$J$156:$J$285,Inversiones!$D$156:$D$285,C323,Inversiones!$C$156:$C$285,"&gt;="&amp;INDEX(Inversiones!$F$30:$F$149,MATCH(C323,Inversiones!$B$30:$B$149,0)),Inversiones!$C$156:$C$285,"&lt;="&amp;D323,Inversiones!$E$156:$E$285,"Compra")-SUMIFS(Inversiones!$J$156:$J$285,Inversiones!$D$156:$D$285,C323,Inversiones!$C$156:$C$285,"&gt;="&amp;INDEX(Inversiones!$F$30:$F$149,MATCH(C323,Inversiones!$B$30:$B$149,0)),Inversiones!$C$156:$C$285,"&lt;="&amp;D323,Inversiones!$E$156:$E$285,"Venta"))</f>
        <v/>
      </c>
      <c r="H323" s="1" t="str">
        <f>IF(E323=0,"",MAXIFS(Inversiones!$C$292:$C$921,Inversiones!$B$292:$B$921,C323,Inversiones!$C$292:$C$921,"&lt;="&amp;D323))</f>
        <v/>
      </c>
      <c r="I323" s="1" t="str">
        <f>IF(OR(E323=0,H323=0),"",SUMIFS(Inversiones!$D$292:$D$921,Inversiones!$B$292:$B$921,C323,Inversiones!$C$292:$C$921,H323))</f>
        <v/>
      </c>
      <c r="J323" s="1" t="str">
        <f t="shared" si="9"/>
        <v/>
      </c>
      <c r="K323" s="1">
        <f t="shared" si="10"/>
        <v>0</v>
      </c>
      <c r="L323" s="1"/>
      <c r="M323" s="1"/>
      <c r="N323" s="1"/>
      <c r="O323" s="1"/>
      <c r="P323" s="1"/>
      <c r="Q323" s="1"/>
      <c r="R323" s="1"/>
    </row>
    <row r="324" ht="24.75" customHeight="1">
      <c r="A324" s="1"/>
      <c r="B324" s="1" t="str">
        <f>IF(EDATE(DATE(YEAR(IF(COUNT(Inversiones!$F$30:$F$149)=0,'Configuración'!$C$8,MIN(Inversiones!$F$30:$F$149))),MONTH(IF(COUNT(Inversiones!$F$30:$F$149)=0,'Configuración'!$C$8,MIN(Inversiones!$F$30:$F$149))),1),INT(46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(46/MAX(1,COUNTA(Inversiones!$B$30:$B$149)))))</f>
        <v/>
      </c>
      <c r="C324" s="1" t="str">
        <f>IFERROR(__xludf.DUMMYFUNCTION("IF(B324="""","""",IFERROR(INDEX(FILTER(Inversiones!$B$30:$B$149,Inversiones!$B$30:$B$149&lt;&gt;""""),MOD(46,MAX(1,COUNTA(Inversiones!$B$30:$B$149)))+1),""""))"),"")</f>
        <v/>
      </c>
      <c r="D324" s="1" t="str">
        <f>IF(C324="","",MIN(EOMONTH(B324,0),'Configuración'!$C$8))</f>
        <v/>
      </c>
      <c r="E324" s="1">
        <f t="array" ref="E324">IF(C324="",0,IF(D324&lt;INDEX(Inversiones!$F$30:$F$149,MATCH(C324,Inversiones!$B$30:$B$149,0)),0,1))</f>
        <v>0</v>
      </c>
      <c r="F324" s="1" t="str">
        <f t="array" ref="F324">IF(E324=0,"",INDEX(Inversiones!$G$30:$G$149,MATCH(C324,Inversiones!$B$30:$B$149,0))+SUMIFS(Inversiones!$F$156:$F$285,Inversiones!$D$156:$D$285,C324,Inversiones!$C$156:$C$285,"&gt;="&amp;INDEX(Inversiones!$F$30:$F$149,MATCH(C324,Inversiones!$B$30:$B$149,0)),Inversiones!$C$156:$C$285,"&lt;="&amp;D324,Inversiones!$E$156:$E$285,"Compra")-SUMIFS(Inversiones!$F$156:$F$285,Inversiones!$D$156:$D$285,C324,Inversiones!$C$156:$C$285,"&gt;="&amp;INDEX(Inversiones!$F$30:$F$149,MATCH(C324,Inversiones!$B$30:$B$149,0)),Inversiones!$C$156:$C$285,"&lt;="&amp;D324,Inversiones!$E$156:$E$285,"Venta"))</f>
        <v/>
      </c>
      <c r="G324" s="1" t="str">
        <f t="array" ref="G324">IF(E324=0,"",INDEX(Inversiones!$H$30:$H$149,MATCH(C324,Inversiones!$B$30:$B$149,0))+SUMIFS(Inversiones!$J$156:$J$285,Inversiones!$D$156:$D$285,C324,Inversiones!$C$156:$C$285,"&gt;="&amp;INDEX(Inversiones!$F$30:$F$149,MATCH(C324,Inversiones!$B$30:$B$149,0)),Inversiones!$C$156:$C$285,"&lt;="&amp;D324,Inversiones!$E$156:$E$285,"Compra")-SUMIFS(Inversiones!$J$156:$J$285,Inversiones!$D$156:$D$285,C324,Inversiones!$C$156:$C$285,"&gt;="&amp;INDEX(Inversiones!$F$30:$F$149,MATCH(C324,Inversiones!$B$30:$B$149,0)),Inversiones!$C$156:$C$285,"&lt;="&amp;D324,Inversiones!$E$156:$E$285,"Venta"))</f>
        <v/>
      </c>
      <c r="H324" s="1" t="str">
        <f>IF(E324=0,"",MAXIFS(Inversiones!$C$292:$C$921,Inversiones!$B$292:$B$921,C324,Inversiones!$C$292:$C$921,"&lt;="&amp;D324))</f>
        <v/>
      </c>
      <c r="I324" s="1" t="str">
        <f>IF(OR(E324=0,H324=0),"",SUMIFS(Inversiones!$D$292:$D$921,Inversiones!$B$292:$B$921,C324,Inversiones!$C$292:$C$921,H324))</f>
        <v/>
      </c>
      <c r="J324" s="1" t="str">
        <f t="shared" si="9"/>
        <v/>
      </c>
      <c r="K324" s="1">
        <f t="shared" si="10"/>
        <v>0</v>
      </c>
      <c r="L324" s="1"/>
      <c r="M324" s="1"/>
      <c r="N324" s="1"/>
      <c r="O324" s="1"/>
      <c r="P324" s="1"/>
      <c r="Q324" s="1"/>
      <c r="R324" s="1"/>
    </row>
    <row r="325" ht="24.75" customHeight="1">
      <c r="A325" s="1"/>
      <c r="B325" s="1" t="str">
        <f>IF(EDATE(DATE(YEAR(IF(COUNT(Inversiones!$F$30:$F$149)=0,'Configuración'!$C$8,MIN(Inversiones!$F$30:$F$149))),MONTH(IF(COUNT(Inversiones!$F$30:$F$149)=0,'Configuración'!$C$8,MIN(Inversiones!$F$30:$F$149))),1),INT(47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(47/MAX(1,COUNTA(Inversiones!$B$30:$B$149)))))</f>
        <v/>
      </c>
      <c r="C325" s="1" t="str">
        <f>IFERROR(__xludf.DUMMYFUNCTION("IF(B325="""","""",IFERROR(INDEX(FILTER(Inversiones!$B$30:$B$149,Inversiones!$B$30:$B$149&lt;&gt;""""),MOD(47,MAX(1,COUNTA(Inversiones!$B$30:$B$149)))+1),""""))"),"")</f>
        <v/>
      </c>
      <c r="D325" s="1" t="str">
        <f>IF(C325="","",MIN(EOMONTH(B325,0),'Configuración'!$C$8))</f>
        <v/>
      </c>
      <c r="E325" s="1">
        <f t="array" ref="E325">IF(C325="",0,IF(D325&lt;INDEX(Inversiones!$F$30:$F$149,MATCH(C325,Inversiones!$B$30:$B$149,0)),0,1))</f>
        <v>0</v>
      </c>
      <c r="F325" s="1" t="str">
        <f t="array" ref="F325">IF(E325=0,"",INDEX(Inversiones!$G$30:$G$149,MATCH(C325,Inversiones!$B$30:$B$149,0))+SUMIFS(Inversiones!$F$156:$F$285,Inversiones!$D$156:$D$285,C325,Inversiones!$C$156:$C$285,"&gt;="&amp;INDEX(Inversiones!$F$30:$F$149,MATCH(C325,Inversiones!$B$30:$B$149,0)),Inversiones!$C$156:$C$285,"&lt;="&amp;D325,Inversiones!$E$156:$E$285,"Compra")-SUMIFS(Inversiones!$F$156:$F$285,Inversiones!$D$156:$D$285,C325,Inversiones!$C$156:$C$285,"&gt;="&amp;INDEX(Inversiones!$F$30:$F$149,MATCH(C325,Inversiones!$B$30:$B$149,0)),Inversiones!$C$156:$C$285,"&lt;="&amp;D325,Inversiones!$E$156:$E$285,"Venta"))</f>
        <v/>
      </c>
      <c r="G325" s="1" t="str">
        <f t="array" ref="G325">IF(E325=0,"",INDEX(Inversiones!$H$30:$H$149,MATCH(C325,Inversiones!$B$30:$B$149,0))+SUMIFS(Inversiones!$J$156:$J$285,Inversiones!$D$156:$D$285,C325,Inversiones!$C$156:$C$285,"&gt;="&amp;INDEX(Inversiones!$F$30:$F$149,MATCH(C325,Inversiones!$B$30:$B$149,0)),Inversiones!$C$156:$C$285,"&lt;="&amp;D325,Inversiones!$E$156:$E$285,"Compra")-SUMIFS(Inversiones!$J$156:$J$285,Inversiones!$D$156:$D$285,C325,Inversiones!$C$156:$C$285,"&gt;="&amp;INDEX(Inversiones!$F$30:$F$149,MATCH(C325,Inversiones!$B$30:$B$149,0)),Inversiones!$C$156:$C$285,"&lt;="&amp;D325,Inversiones!$E$156:$E$285,"Venta"))</f>
        <v/>
      </c>
      <c r="H325" s="1" t="str">
        <f>IF(E325=0,"",MAXIFS(Inversiones!$C$292:$C$921,Inversiones!$B$292:$B$921,C325,Inversiones!$C$292:$C$921,"&lt;="&amp;D325))</f>
        <v/>
      </c>
      <c r="I325" s="1" t="str">
        <f>IF(OR(E325=0,H325=0),"",SUMIFS(Inversiones!$D$292:$D$921,Inversiones!$B$292:$B$921,C325,Inversiones!$C$292:$C$921,H325))</f>
        <v/>
      </c>
      <c r="J325" s="1" t="str">
        <f t="shared" si="9"/>
        <v/>
      </c>
      <c r="K325" s="1">
        <f t="shared" si="10"/>
        <v>0</v>
      </c>
      <c r="L325" s="1"/>
      <c r="M325" s="1"/>
      <c r="N325" s="1"/>
      <c r="O325" s="1"/>
      <c r="P325" s="1"/>
      <c r="Q325" s="1"/>
      <c r="R325" s="1"/>
    </row>
    <row r="326" ht="24.75" customHeight="1">
      <c r="A326" s="1"/>
      <c r="B326" s="1" t="str">
        <f>IF(EDATE(DATE(YEAR(IF(COUNT(Inversiones!$F$30:$F$149)=0,'Configuración'!$C$8,MIN(Inversiones!$F$30:$F$149))),MONTH(IF(COUNT(Inversiones!$F$30:$F$149)=0,'Configuración'!$C$8,MIN(Inversiones!$F$30:$F$149))),1),INT(48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(48/MAX(1,COUNTA(Inversiones!$B$30:$B$149)))))</f>
        <v/>
      </c>
      <c r="C326" s="1" t="str">
        <f>IFERROR(__xludf.DUMMYFUNCTION("IF(B326="""","""",IFERROR(INDEX(FILTER(Inversiones!$B$30:$B$149,Inversiones!$B$30:$B$149&lt;&gt;""""),MOD(48,MAX(1,COUNTA(Inversiones!$B$30:$B$149)))+1),""""))"),"")</f>
        <v/>
      </c>
      <c r="D326" s="1" t="str">
        <f>IF(C326="","",MIN(EOMONTH(B326,0),'Configuración'!$C$8))</f>
        <v/>
      </c>
      <c r="E326" s="1">
        <f t="array" ref="E326">IF(C326="",0,IF(D326&lt;INDEX(Inversiones!$F$30:$F$149,MATCH(C326,Inversiones!$B$30:$B$149,0)),0,1))</f>
        <v>0</v>
      </c>
      <c r="F326" s="66" t="str">
        <f t="array" ref="F326">IF(E326=0,"",INDEX(Inversiones!$G$30:$G$149,MATCH(C326,Inversiones!$B$30:$B$149,0))+SUMIFS(Inversiones!$F$156:$F$285,Inversiones!$D$156:$D$285,C326,Inversiones!$C$156:$C$285,"&gt;="&amp;INDEX(Inversiones!$F$30:$F$149,MATCH(C326,Inversiones!$B$30:$B$149,0)),Inversiones!$C$156:$C$285,"&lt;="&amp;D326,Inversiones!$E$156:$E$285,"Compra")-SUMIFS(Inversiones!$F$156:$F$285,Inversiones!$D$156:$D$285,C326,Inversiones!$C$156:$C$285,"&gt;="&amp;INDEX(Inversiones!$F$30:$F$149,MATCH(C326,Inversiones!$B$30:$B$149,0)),Inversiones!$C$156:$C$285,"&lt;="&amp;D326,Inversiones!$E$156:$E$285,"Venta"))</f>
        <v/>
      </c>
      <c r="G326" s="39" t="str">
        <f t="array" ref="G326">IF(E326=0,"",INDEX(Inversiones!$H$30:$H$149,MATCH(C326,Inversiones!$B$30:$B$149,0))+SUMIFS(Inversiones!$J$156:$J$285,Inversiones!$D$156:$D$285,C326,Inversiones!$C$156:$C$285,"&gt;="&amp;INDEX(Inversiones!$F$30:$F$149,MATCH(C326,Inversiones!$B$30:$B$149,0)),Inversiones!$C$156:$C$285,"&lt;="&amp;D326,Inversiones!$E$156:$E$285,"Compra")-SUMIFS(Inversiones!$J$156:$J$285,Inversiones!$D$156:$D$285,C326,Inversiones!$C$156:$C$285,"&gt;="&amp;INDEX(Inversiones!$F$30:$F$149,MATCH(C326,Inversiones!$B$30:$B$149,0)),Inversiones!$C$156:$C$285,"&lt;="&amp;D326,Inversiones!$E$156:$E$285,"Venta"))</f>
        <v/>
      </c>
      <c r="H326" s="1" t="str">
        <f>IF(E326=0,"",MAXIFS(Inversiones!$C$292:$C$921,Inversiones!$B$292:$B$921,C326,Inversiones!$C$292:$C$921,"&lt;="&amp;D326))</f>
        <v/>
      </c>
      <c r="I326" s="1" t="str">
        <f>IF(OR(E326=0,H326=0),"",SUMIFS(Inversiones!$D$292:$D$921,Inversiones!$B$292:$B$921,C326,Inversiones!$C$292:$C$921,H326))</f>
        <v/>
      </c>
      <c r="J326" s="1" t="str">
        <f t="shared" si="9"/>
        <v/>
      </c>
      <c r="K326" s="1">
        <f t="shared" si="10"/>
        <v>0</v>
      </c>
      <c r="L326" s="1"/>
      <c r="M326" s="1"/>
      <c r="N326" s="1"/>
      <c r="O326" s="1"/>
      <c r="P326" s="1"/>
      <c r="Q326" s="1"/>
      <c r="R326" s="1"/>
    </row>
    <row r="327" ht="24.75" customHeight="1">
      <c r="A327" s="1"/>
      <c r="B327" s="1" t="str">
        <f>IF(EDATE(DATE(YEAR(IF(COUNT(Inversiones!$F$30:$F$149)=0,'Configuración'!$C$8,MIN(Inversiones!$F$30:$F$149))),MONTH(IF(COUNT(Inversiones!$F$30:$F$149)=0,'Configuración'!$C$8,MIN(Inversiones!$F$30:$F$149))),1),INT(49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(49/MAX(1,COUNTA(Inversiones!$B$30:$B$149)))))</f>
        <v/>
      </c>
      <c r="C327" s="1" t="str">
        <f>IFERROR(__xludf.DUMMYFUNCTION("IF(B327="""","""",IFERROR(INDEX(FILTER(Inversiones!$B$30:$B$149,Inversiones!$B$30:$B$149&lt;&gt;""""),MOD(49,MAX(1,COUNTA(Inversiones!$B$30:$B$149)))+1),""""))"),"")</f>
        <v/>
      </c>
      <c r="D327" s="1" t="str">
        <f>IF(C327="","",MIN(EOMONTH(B327,0),'Configuración'!$C$8))</f>
        <v/>
      </c>
      <c r="E327" s="1">
        <f t="array" ref="E327">IF(C327="",0,IF(D327&lt;INDEX(Inversiones!$F$30:$F$149,MATCH(C327,Inversiones!$B$30:$B$149,0)),0,1))</f>
        <v>0</v>
      </c>
      <c r="F327" s="1" t="str">
        <f t="array" ref="F327">IF(E327=0,"",INDEX(Inversiones!$G$30:$G$149,MATCH(C327,Inversiones!$B$30:$B$149,0))+SUMIFS(Inversiones!$F$156:$F$285,Inversiones!$D$156:$D$285,C327,Inversiones!$C$156:$C$285,"&gt;="&amp;INDEX(Inversiones!$F$30:$F$149,MATCH(C327,Inversiones!$B$30:$B$149,0)),Inversiones!$C$156:$C$285,"&lt;="&amp;D327,Inversiones!$E$156:$E$285,"Compra")-SUMIFS(Inversiones!$F$156:$F$285,Inversiones!$D$156:$D$285,C327,Inversiones!$C$156:$C$285,"&gt;="&amp;INDEX(Inversiones!$F$30:$F$149,MATCH(C327,Inversiones!$B$30:$B$149,0)),Inversiones!$C$156:$C$285,"&lt;="&amp;D327,Inversiones!$E$156:$E$285,"Venta"))</f>
        <v/>
      </c>
      <c r="G327" s="1" t="str">
        <f t="array" ref="G327">IF(E327=0,"",INDEX(Inversiones!$H$30:$H$149,MATCH(C327,Inversiones!$B$30:$B$149,0))+SUMIFS(Inversiones!$J$156:$J$285,Inversiones!$D$156:$D$285,C327,Inversiones!$C$156:$C$285,"&gt;="&amp;INDEX(Inversiones!$F$30:$F$149,MATCH(C327,Inversiones!$B$30:$B$149,0)),Inversiones!$C$156:$C$285,"&lt;="&amp;D327,Inversiones!$E$156:$E$285,"Compra")-SUMIFS(Inversiones!$J$156:$J$285,Inversiones!$D$156:$D$285,C327,Inversiones!$C$156:$C$285,"&gt;="&amp;INDEX(Inversiones!$F$30:$F$149,MATCH(C327,Inversiones!$B$30:$B$149,0)),Inversiones!$C$156:$C$285,"&lt;="&amp;D327,Inversiones!$E$156:$E$285,"Venta"))</f>
        <v/>
      </c>
      <c r="H327" s="1" t="str">
        <f>IF(E327=0,"",MAXIFS(Inversiones!$C$292:$C$921,Inversiones!$B$292:$B$921,C327,Inversiones!$C$292:$C$921,"&lt;="&amp;D327))</f>
        <v/>
      </c>
      <c r="I327" s="1" t="str">
        <f>IF(OR(E327=0,H327=0),"",SUMIFS(Inversiones!$D$292:$D$921,Inversiones!$B$292:$B$921,C327,Inversiones!$C$292:$C$921,H327))</f>
        <v/>
      </c>
      <c r="J327" s="1" t="str">
        <f t="shared" si="9"/>
        <v/>
      </c>
      <c r="K327" s="1">
        <f t="shared" si="10"/>
        <v>0</v>
      </c>
      <c r="L327" s="1"/>
      <c r="M327" s="1"/>
      <c r="N327" s="1"/>
      <c r="O327" s="1"/>
      <c r="P327" s="1"/>
      <c r="Q327" s="1"/>
      <c r="R327" s="1"/>
    </row>
    <row r="328" ht="24.75" customHeight="1">
      <c r="A328" s="1"/>
      <c r="B328" s="1" t="str">
        <f>IF(EDATE(DATE(YEAR(IF(COUNT(Inversiones!$F$30:$F$149)=0,'Configuración'!$C$8,MIN(Inversiones!$F$30:$F$149))),MONTH(IF(COUNT(Inversiones!$F$30:$F$149)=0,'Configuración'!$C$8,MIN(Inversiones!$F$30:$F$149))),1),INT(50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(50/MAX(1,COUNTA(Inversiones!$B$30:$B$149)))))</f>
        <v/>
      </c>
      <c r="C328" s="1" t="str">
        <f>IFERROR(__xludf.DUMMYFUNCTION("IF(B328="""","""",IFERROR(INDEX(FILTER(Inversiones!$B$30:$B$149,Inversiones!$B$30:$B$149&lt;&gt;""""),MOD(50,MAX(1,COUNTA(Inversiones!$B$30:$B$149)))+1),""""))"),"")</f>
        <v/>
      </c>
      <c r="D328" s="1" t="str">
        <f>IF(C328="","",MIN(EOMONTH(B328,0),'Configuración'!$C$8))</f>
        <v/>
      </c>
      <c r="E328" s="1">
        <f t="array" ref="E328">IF(C328="",0,IF(D328&lt;INDEX(Inversiones!$F$30:$F$149,MATCH(C328,Inversiones!$B$30:$B$149,0)),0,1))</f>
        <v>0</v>
      </c>
      <c r="F328" s="1" t="str">
        <f t="array" ref="F328">IF(E328=0,"",INDEX(Inversiones!$G$30:$G$149,MATCH(C328,Inversiones!$B$30:$B$149,0))+SUMIFS(Inversiones!$F$156:$F$285,Inversiones!$D$156:$D$285,C328,Inversiones!$C$156:$C$285,"&gt;="&amp;INDEX(Inversiones!$F$30:$F$149,MATCH(C328,Inversiones!$B$30:$B$149,0)),Inversiones!$C$156:$C$285,"&lt;="&amp;D328,Inversiones!$E$156:$E$285,"Compra")-SUMIFS(Inversiones!$F$156:$F$285,Inversiones!$D$156:$D$285,C328,Inversiones!$C$156:$C$285,"&gt;="&amp;INDEX(Inversiones!$F$30:$F$149,MATCH(C328,Inversiones!$B$30:$B$149,0)),Inversiones!$C$156:$C$285,"&lt;="&amp;D328,Inversiones!$E$156:$E$285,"Venta"))</f>
        <v/>
      </c>
      <c r="G328" s="1" t="str">
        <f t="array" ref="G328">IF(E328=0,"",INDEX(Inversiones!$H$30:$H$149,MATCH(C328,Inversiones!$B$30:$B$149,0))+SUMIFS(Inversiones!$J$156:$J$285,Inversiones!$D$156:$D$285,C328,Inversiones!$C$156:$C$285,"&gt;="&amp;INDEX(Inversiones!$F$30:$F$149,MATCH(C328,Inversiones!$B$30:$B$149,0)),Inversiones!$C$156:$C$285,"&lt;="&amp;D328,Inversiones!$E$156:$E$285,"Compra")-SUMIFS(Inversiones!$J$156:$J$285,Inversiones!$D$156:$D$285,C328,Inversiones!$C$156:$C$285,"&gt;="&amp;INDEX(Inversiones!$F$30:$F$149,MATCH(C328,Inversiones!$B$30:$B$149,0)),Inversiones!$C$156:$C$285,"&lt;="&amp;D328,Inversiones!$E$156:$E$285,"Venta"))</f>
        <v/>
      </c>
      <c r="H328" s="1" t="str">
        <f>IF(E328=0,"",MAXIFS(Inversiones!$C$292:$C$921,Inversiones!$B$292:$B$921,C328,Inversiones!$C$292:$C$921,"&lt;="&amp;D328))</f>
        <v/>
      </c>
      <c r="I328" s="1" t="str">
        <f>IF(OR(E328=0,H328=0),"",SUMIFS(Inversiones!$D$292:$D$921,Inversiones!$B$292:$B$921,C328,Inversiones!$C$292:$C$921,H328))</f>
        <v/>
      </c>
      <c r="J328" s="1" t="str">
        <f t="shared" si="9"/>
        <v/>
      </c>
      <c r="K328" s="1">
        <f t="shared" si="10"/>
        <v>0</v>
      </c>
      <c r="L328" s="1"/>
      <c r="M328" s="1"/>
      <c r="N328" s="1"/>
      <c r="O328" s="1"/>
      <c r="P328" s="1"/>
      <c r="Q328" s="1"/>
      <c r="R328" s="1"/>
    </row>
    <row r="329" ht="24.75" customHeight="1">
      <c r="A329" s="1"/>
      <c r="B329" s="1" t="str">
        <f>IF(EDATE(DATE(YEAR(IF(COUNT(Inversiones!$F$30:$F$149)=0,'Configuración'!$C$8,MIN(Inversiones!$F$30:$F$149))),MONTH(IF(COUNT(Inversiones!$F$30:$F$149)=0,'Configuración'!$C$8,MIN(Inversiones!$F$30:$F$149))),1),INT(51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(51/MAX(1,COUNTA(Inversiones!$B$30:$B$149)))))</f>
        <v/>
      </c>
      <c r="C329" s="1" t="str">
        <f>IFERROR(__xludf.DUMMYFUNCTION("IF(B329="""","""",IFERROR(INDEX(FILTER(Inversiones!$B$30:$B$149,Inversiones!$B$30:$B$149&lt;&gt;""""),MOD(51,MAX(1,COUNTA(Inversiones!$B$30:$B$149)))+1),""""))"),"")</f>
        <v/>
      </c>
      <c r="D329" s="1" t="str">
        <f>IF(C329="","",MIN(EOMONTH(B329,0),'Configuración'!$C$8))</f>
        <v/>
      </c>
      <c r="E329" s="1">
        <f t="array" ref="E329">IF(C329="",0,IF(D329&lt;INDEX(Inversiones!$F$30:$F$149,MATCH(C329,Inversiones!$B$30:$B$149,0)),0,1))</f>
        <v>0</v>
      </c>
      <c r="F329" s="66" t="str">
        <f t="array" ref="F329">IF(E329=0,"",INDEX(Inversiones!$G$30:$G$149,MATCH(C329,Inversiones!$B$30:$B$149,0))+SUMIFS(Inversiones!$F$156:$F$285,Inversiones!$D$156:$D$285,C329,Inversiones!$C$156:$C$285,"&gt;="&amp;INDEX(Inversiones!$F$30:$F$149,MATCH(C329,Inversiones!$B$30:$B$149,0)),Inversiones!$C$156:$C$285,"&lt;="&amp;D329,Inversiones!$E$156:$E$285,"Compra")-SUMIFS(Inversiones!$F$156:$F$285,Inversiones!$D$156:$D$285,C329,Inversiones!$C$156:$C$285,"&gt;="&amp;INDEX(Inversiones!$F$30:$F$149,MATCH(C329,Inversiones!$B$30:$B$149,0)),Inversiones!$C$156:$C$285,"&lt;="&amp;D329,Inversiones!$E$156:$E$285,"Venta"))</f>
        <v/>
      </c>
      <c r="G329" s="39" t="str">
        <f t="array" ref="G329">IF(E329=0,"",INDEX(Inversiones!$H$30:$H$149,MATCH(C329,Inversiones!$B$30:$B$149,0))+SUMIFS(Inversiones!$J$156:$J$285,Inversiones!$D$156:$D$285,C329,Inversiones!$C$156:$C$285,"&gt;="&amp;INDEX(Inversiones!$F$30:$F$149,MATCH(C329,Inversiones!$B$30:$B$149,0)),Inversiones!$C$156:$C$285,"&lt;="&amp;D329,Inversiones!$E$156:$E$285,"Compra")-SUMIFS(Inversiones!$J$156:$J$285,Inversiones!$D$156:$D$285,C329,Inversiones!$C$156:$C$285,"&gt;="&amp;INDEX(Inversiones!$F$30:$F$149,MATCH(C329,Inversiones!$B$30:$B$149,0)),Inversiones!$C$156:$C$285,"&lt;="&amp;D329,Inversiones!$E$156:$E$285,"Venta"))</f>
        <v/>
      </c>
      <c r="H329" s="1" t="str">
        <f>IF(E329=0,"",MAXIFS(Inversiones!$C$292:$C$921,Inversiones!$B$292:$B$921,C329,Inversiones!$C$292:$C$921,"&lt;="&amp;D329))</f>
        <v/>
      </c>
      <c r="I329" s="1" t="str">
        <f>IF(OR(E329=0,H329=0),"",SUMIFS(Inversiones!$D$292:$D$921,Inversiones!$B$292:$B$921,C329,Inversiones!$C$292:$C$921,H329))</f>
        <v/>
      </c>
      <c r="J329" s="1" t="str">
        <f t="shared" si="9"/>
        <v/>
      </c>
      <c r="K329" s="1">
        <f t="shared" si="10"/>
        <v>0</v>
      </c>
      <c r="L329" s="1"/>
      <c r="M329" s="1"/>
      <c r="N329" s="1"/>
      <c r="O329" s="1"/>
      <c r="P329" s="1"/>
      <c r="Q329" s="1"/>
      <c r="R329" s="1"/>
    </row>
    <row r="330" ht="24.75" customHeight="1">
      <c r="A330" s="1"/>
      <c r="B330" s="1" t="str">
        <f>IF(EDATE(DATE(YEAR(IF(COUNT(Inversiones!$F$30:$F$149)=0,'Configuración'!$C$8,MIN(Inversiones!$F$30:$F$149))),MONTH(IF(COUNT(Inversiones!$F$30:$F$149)=0,'Configuración'!$C$8,MIN(Inversiones!$F$30:$F$149))),1),INT(52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(52/MAX(1,COUNTA(Inversiones!$B$30:$B$149)))))</f>
        <v/>
      </c>
      <c r="C330" s="1" t="str">
        <f>IFERROR(__xludf.DUMMYFUNCTION("IF(B330="""","""",IFERROR(INDEX(FILTER(Inversiones!$B$30:$B$149,Inversiones!$B$30:$B$149&lt;&gt;""""),MOD(52,MAX(1,COUNTA(Inversiones!$B$30:$B$149)))+1),""""))"),"")</f>
        <v/>
      </c>
      <c r="D330" s="1" t="str">
        <f>IF(C330="","",MIN(EOMONTH(B330,0),'Configuración'!$C$8))</f>
        <v/>
      </c>
      <c r="E330" s="1">
        <f t="array" ref="E330">IF(C330="",0,IF(D330&lt;INDEX(Inversiones!$F$30:$F$149,MATCH(C330,Inversiones!$B$30:$B$149,0)),0,1))</f>
        <v>0</v>
      </c>
      <c r="F330" s="66" t="str">
        <f t="array" ref="F330">IF(E330=0,"",INDEX(Inversiones!$G$30:$G$149,MATCH(C330,Inversiones!$B$30:$B$149,0))+SUMIFS(Inversiones!$F$156:$F$285,Inversiones!$D$156:$D$285,C330,Inversiones!$C$156:$C$285,"&gt;="&amp;INDEX(Inversiones!$F$30:$F$149,MATCH(C330,Inversiones!$B$30:$B$149,0)),Inversiones!$C$156:$C$285,"&lt;="&amp;D330,Inversiones!$E$156:$E$285,"Compra")-SUMIFS(Inversiones!$F$156:$F$285,Inversiones!$D$156:$D$285,C330,Inversiones!$C$156:$C$285,"&gt;="&amp;INDEX(Inversiones!$F$30:$F$149,MATCH(C330,Inversiones!$B$30:$B$149,0)),Inversiones!$C$156:$C$285,"&lt;="&amp;D330,Inversiones!$E$156:$E$285,"Venta"))</f>
        <v/>
      </c>
      <c r="G330" s="39" t="str">
        <f t="array" ref="G330">IF(E330=0,"",INDEX(Inversiones!$H$30:$H$149,MATCH(C330,Inversiones!$B$30:$B$149,0))+SUMIFS(Inversiones!$J$156:$J$285,Inversiones!$D$156:$D$285,C330,Inversiones!$C$156:$C$285,"&gt;="&amp;INDEX(Inversiones!$F$30:$F$149,MATCH(C330,Inversiones!$B$30:$B$149,0)),Inversiones!$C$156:$C$285,"&lt;="&amp;D330,Inversiones!$E$156:$E$285,"Compra")-SUMIFS(Inversiones!$J$156:$J$285,Inversiones!$D$156:$D$285,C330,Inversiones!$C$156:$C$285,"&gt;="&amp;INDEX(Inversiones!$F$30:$F$149,MATCH(C330,Inversiones!$B$30:$B$149,0)),Inversiones!$C$156:$C$285,"&lt;="&amp;D330,Inversiones!$E$156:$E$285,"Venta"))</f>
        <v/>
      </c>
      <c r="H330" s="1" t="str">
        <f>IF(E330=0,"",MAXIFS(Inversiones!$C$292:$C$921,Inversiones!$B$292:$B$921,C330,Inversiones!$C$292:$C$921,"&lt;="&amp;D330))</f>
        <v/>
      </c>
      <c r="I330" s="1" t="str">
        <f>IF(OR(E330=0,H330=0),"",SUMIFS(Inversiones!$D$292:$D$921,Inversiones!$B$292:$B$921,C330,Inversiones!$C$292:$C$921,H330))</f>
        <v/>
      </c>
      <c r="J330" s="1" t="str">
        <f t="shared" si="9"/>
        <v/>
      </c>
      <c r="K330" s="1">
        <f t="shared" si="10"/>
        <v>0</v>
      </c>
      <c r="L330" s="1"/>
      <c r="M330" s="1"/>
      <c r="N330" s="1"/>
      <c r="O330" s="1"/>
      <c r="P330" s="1"/>
      <c r="Q330" s="1"/>
      <c r="R330" s="1"/>
    </row>
    <row r="331" ht="24.75" customHeight="1">
      <c r="A331" s="1"/>
      <c r="B331" s="65" t="str">
        <f>IF(EDATE(DATE(YEAR(IF(COUNT(Inversiones!$F$30:$F$149)=0,'Configuración'!$C$8,MIN(Inversiones!$F$30:$F$149))),MONTH(IF(COUNT(Inversiones!$F$30:$F$149)=0,'Configuración'!$C$8,MIN(Inversiones!$F$30:$F$149))),1),INT(53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(53/MAX(1,COUNTA(Inversiones!$B$30:$B$149)))))</f>
        <v/>
      </c>
      <c r="C331" s="1" t="str">
        <f>IFERROR(__xludf.DUMMYFUNCTION("IF(B331="""","""",IFERROR(INDEX(FILTER(Inversiones!$B$30:$B$149,Inversiones!$B$30:$B$149&lt;&gt;""""),MOD(53,MAX(1,COUNTA(Inversiones!$B$30:$B$149)))+1),""""))"),"")</f>
        <v/>
      </c>
      <c r="D331" s="1" t="str">
        <f>IF(C331="","",MIN(EOMONTH(B331,0),'Configuración'!$C$8))</f>
        <v/>
      </c>
      <c r="E331" s="1">
        <f t="array" ref="E331">IF(C331="",0,IF(D331&lt;INDEX(Inversiones!$F$30:$F$149,MATCH(C331,Inversiones!$B$30:$B$149,0)),0,1))</f>
        <v>0</v>
      </c>
      <c r="F331" s="66" t="str">
        <f t="array" ref="F331">IF(E331=0,"",INDEX(Inversiones!$G$30:$G$149,MATCH(C331,Inversiones!$B$30:$B$149,0))+SUMIFS(Inversiones!$F$156:$F$285,Inversiones!$D$156:$D$285,C331,Inversiones!$C$156:$C$285,"&gt;="&amp;INDEX(Inversiones!$F$30:$F$149,MATCH(C331,Inversiones!$B$30:$B$149,0)),Inversiones!$C$156:$C$285,"&lt;="&amp;D331,Inversiones!$E$156:$E$285,"Compra")-SUMIFS(Inversiones!$F$156:$F$285,Inversiones!$D$156:$D$285,C331,Inversiones!$C$156:$C$285,"&gt;="&amp;INDEX(Inversiones!$F$30:$F$149,MATCH(C331,Inversiones!$B$30:$B$149,0)),Inversiones!$C$156:$C$285,"&lt;="&amp;D331,Inversiones!$E$156:$E$285,"Venta"))</f>
        <v/>
      </c>
      <c r="G331" s="39" t="str">
        <f t="array" ref="G331">IF(E331=0,"",INDEX(Inversiones!$H$30:$H$149,MATCH(C331,Inversiones!$B$30:$B$149,0))+SUMIFS(Inversiones!$J$156:$J$285,Inversiones!$D$156:$D$285,C331,Inversiones!$C$156:$C$285,"&gt;="&amp;INDEX(Inversiones!$F$30:$F$149,MATCH(C331,Inversiones!$B$30:$B$149,0)),Inversiones!$C$156:$C$285,"&lt;="&amp;D331,Inversiones!$E$156:$E$285,"Compra")-SUMIFS(Inversiones!$J$156:$J$285,Inversiones!$D$156:$D$285,C331,Inversiones!$C$156:$C$285,"&gt;="&amp;INDEX(Inversiones!$F$30:$F$149,MATCH(C331,Inversiones!$B$30:$B$149,0)),Inversiones!$C$156:$C$285,"&lt;="&amp;D331,Inversiones!$E$156:$E$285,"Venta"))</f>
        <v/>
      </c>
      <c r="H331" s="1" t="str">
        <f>IF(E331=0,"",MAXIFS(Inversiones!$C$292:$C$921,Inversiones!$B$292:$B$921,C331,Inversiones!$C$292:$C$921,"&lt;="&amp;D331))</f>
        <v/>
      </c>
      <c r="I331" s="1" t="str">
        <f>IF(OR(E331=0,H331=0),"",SUMIFS(Inversiones!$D$292:$D$921,Inversiones!$B$292:$B$921,C331,Inversiones!$C$292:$C$921,H331))</f>
        <v/>
      </c>
      <c r="J331" s="1" t="str">
        <f t="shared" si="9"/>
        <v/>
      </c>
      <c r="K331" s="1">
        <f t="shared" si="10"/>
        <v>0</v>
      </c>
      <c r="L331" s="1"/>
      <c r="M331" s="1"/>
      <c r="N331" s="1"/>
      <c r="O331" s="1"/>
      <c r="P331" s="1"/>
      <c r="Q331" s="1"/>
      <c r="R331" s="1"/>
    </row>
    <row r="332" ht="24.75" customHeight="1">
      <c r="A332" s="1"/>
      <c r="B332" s="65" t="str">
        <f>IF(EDATE(DATE(YEAR(IF(COUNT(Inversiones!$F$30:$F$149)=0,'Configuración'!$C$8,MIN(Inversiones!$F$30:$F$149))),MONTH(IF(COUNT(Inversiones!$F$30:$F$149)=0,'Configuración'!$C$8,MIN(Inversiones!$F$30:$F$149))),1),INT(54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(54/MAX(1,COUNTA(Inversiones!$B$30:$B$149)))))</f>
        <v/>
      </c>
      <c r="C332" s="1" t="str">
        <f>IFERROR(__xludf.DUMMYFUNCTION("IF(B332="""","""",IFERROR(INDEX(FILTER(Inversiones!$B$30:$B$149,Inversiones!$B$30:$B$149&lt;&gt;""""),MOD(54,MAX(1,COUNTA(Inversiones!$B$30:$B$149)))+1),""""))"),"")</f>
        <v/>
      </c>
      <c r="D332" s="1" t="str">
        <f>IF(C332="","",MIN(EOMONTH(B332,0),'Configuración'!$C$8))</f>
        <v/>
      </c>
      <c r="E332" s="1">
        <f t="array" ref="E332">IF(C332="",0,IF(D332&lt;INDEX(Inversiones!$F$30:$F$149,MATCH(C332,Inversiones!$B$30:$B$149,0)),0,1))</f>
        <v>0</v>
      </c>
      <c r="F332" s="66" t="str">
        <f t="array" ref="F332">IF(E332=0,"",INDEX(Inversiones!$G$30:$G$149,MATCH(C332,Inversiones!$B$30:$B$149,0))+SUMIFS(Inversiones!$F$156:$F$285,Inversiones!$D$156:$D$285,C332,Inversiones!$C$156:$C$285,"&gt;="&amp;INDEX(Inversiones!$F$30:$F$149,MATCH(C332,Inversiones!$B$30:$B$149,0)),Inversiones!$C$156:$C$285,"&lt;="&amp;D332,Inversiones!$E$156:$E$285,"Compra")-SUMIFS(Inversiones!$F$156:$F$285,Inversiones!$D$156:$D$285,C332,Inversiones!$C$156:$C$285,"&gt;="&amp;INDEX(Inversiones!$F$30:$F$149,MATCH(C332,Inversiones!$B$30:$B$149,0)),Inversiones!$C$156:$C$285,"&lt;="&amp;D332,Inversiones!$E$156:$E$285,"Venta"))</f>
        <v/>
      </c>
      <c r="G332" s="39" t="str">
        <f t="array" ref="G332">IF(E332=0,"",INDEX(Inversiones!$H$30:$H$149,MATCH(C332,Inversiones!$B$30:$B$149,0))+SUMIFS(Inversiones!$J$156:$J$285,Inversiones!$D$156:$D$285,C332,Inversiones!$C$156:$C$285,"&gt;="&amp;INDEX(Inversiones!$F$30:$F$149,MATCH(C332,Inversiones!$B$30:$B$149,0)),Inversiones!$C$156:$C$285,"&lt;="&amp;D332,Inversiones!$E$156:$E$285,"Compra")-SUMIFS(Inversiones!$J$156:$J$285,Inversiones!$D$156:$D$285,C332,Inversiones!$C$156:$C$285,"&gt;="&amp;INDEX(Inversiones!$F$30:$F$149,MATCH(C332,Inversiones!$B$30:$B$149,0)),Inversiones!$C$156:$C$285,"&lt;="&amp;D332,Inversiones!$E$156:$E$285,"Venta"))</f>
        <v/>
      </c>
      <c r="H332" s="1" t="str">
        <f>IF(E332=0,"",MAXIFS(Inversiones!$C$292:$C$921,Inversiones!$B$292:$B$921,C332,Inversiones!$C$292:$C$921,"&lt;="&amp;D332))</f>
        <v/>
      </c>
      <c r="I332" s="1" t="str">
        <f>IF(OR(E332=0,H332=0),"",SUMIFS(Inversiones!$D$292:$D$921,Inversiones!$B$292:$B$921,C332,Inversiones!$C$292:$C$921,H332))</f>
        <v/>
      </c>
      <c r="J332" s="1" t="str">
        <f t="shared" si="9"/>
        <v/>
      </c>
      <c r="K332" s="1">
        <f t="shared" si="10"/>
        <v>0</v>
      </c>
      <c r="L332" s="1"/>
      <c r="M332" s="1"/>
      <c r="N332" s="1"/>
      <c r="O332" s="1"/>
      <c r="P332" s="1"/>
      <c r="Q332" s="1"/>
      <c r="R332" s="1"/>
    </row>
    <row r="333" ht="24.75" customHeight="1">
      <c r="A333" s="1"/>
      <c r="B333" s="65" t="str">
        <f>IF(EDATE(DATE(YEAR(IF(COUNT(Inversiones!$F$30:$F$149)=0,'Configuración'!$C$8,MIN(Inversiones!$F$30:$F$149))),MONTH(IF(COUNT(Inversiones!$F$30:$F$149)=0,'Configuración'!$C$8,MIN(Inversiones!$F$30:$F$149))),1),INT(55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(55/MAX(1,COUNTA(Inversiones!$B$30:$B$149)))))</f>
        <v/>
      </c>
      <c r="C333" s="1" t="str">
        <f>IFERROR(__xludf.DUMMYFUNCTION("IF(B333="""","""",IFERROR(INDEX(FILTER(Inversiones!$B$30:$B$149,Inversiones!$B$30:$B$149&lt;&gt;""""),MOD(55,MAX(1,COUNTA(Inversiones!$B$30:$B$149)))+1),""""))"),"")</f>
        <v/>
      </c>
      <c r="D333" s="1" t="str">
        <f>IF(C333="","",MIN(EOMONTH(B333,0),'Configuración'!$C$8))</f>
        <v/>
      </c>
      <c r="E333" s="1">
        <f t="array" ref="E333">IF(C333="",0,IF(D333&lt;INDEX(Inversiones!$F$30:$F$149,MATCH(C333,Inversiones!$B$30:$B$149,0)),0,1))</f>
        <v>0</v>
      </c>
      <c r="F333" s="66" t="str">
        <f t="array" ref="F333">IF(E333=0,"",INDEX(Inversiones!$G$30:$G$149,MATCH(C333,Inversiones!$B$30:$B$149,0))+SUMIFS(Inversiones!$F$156:$F$285,Inversiones!$D$156:$D$285,C333,Inversiones!$C$156:$C$285,"&gt;="&amp;INDEX(Inversiones!$F$30:$F$149,MATCH(C333,Inversiones!$B$30:$B$149,0)),Inversiones!$C$156:$C$285,"&lt;="&amp;D333,Inversiones!$E$156:$E$285,"Compra")-SUMIFS(Inversiones!$F$156:$F$285,Inversiones!$D$156:$D$285,C333,Inversiones!$C$156:$C$285,"&gt;="&amp;INDEX(Inversiones!$F$30:$F$149,MATCH(C333,Inversiones!$B$30:$B$149,0)),Inversiones!$C$156:$C$285,"&lt;="&amp;D333,Inversiones!$E$156:$E$285,"Venta"))</f>
        <v/>
      </c>
      <c r="G333" s="39" t="str">
        <f t="array" ref="G333">IF(E333=0,"",INDEX(Inversiones!$H$30:$H$149,MATCH(C333,Inversiones!$B$30:$B$149,0))+SUMIFS(Inversiones!$J$156:$J$285,Inversiones!$D$156:$D$285,C333,Inversiones!$C$156:$C$285,"&gt;="&amp;INDEX(Inversiones!$F$30:$F$149,MATCH(C333,Inversiones!$B$30:$B$149,0)),Inversiones!$C$156:$C$285,"&lt;="&amp;D333,Inversiones!$E$156:$E$285,"Compra")-SUMIFS(Inversiones!$J$156:$J$285,Inversiones!$D$156:$D$285,C333,Inversiones!$C$156:$C$285,"&gt;="&amp;INDEX(Inversiones!$F$30:$F$149,MATCH(C333,Inversiones!$B$30:$B$149,0)),Inversiones!$C$156:$C$285,"&lt;="&amp;D333,Inversiones!$E$156:$E$285,"Venta"))</f>
        <v/>
      </c>
      <c r="H333" s="1" t="str">
        <f>IF(E333=0,"",MAXIFS(Inversiones!$C$292:$C$921,Inversiones!$B$292:$B$921,C333,Inversiones!$C$292:$C$921,"&lt;="&amp;D333))</f>
        <v/>
      </c>
      <c r="I333" s="1" t="str">
        <f>IF(OR(E333=0,H333=0),"",SUMIFS(Inversiones!$D$292:$D$921,Inversiones!$B$292:$B$921,C333,Inversiones!$C$292:$C$921,H333))</f>
        <v/>
      </c>
      <c r="J333" s="1" t="str">
        <f t="shared" si="9"/>
        <v/>
      </c>
      <c r="K333" s="1">
        <f t="shared" si="10"/>
        <v>0</v>
      </c>
      <c r="L333" s="1"/>
      <c r="M333" s="1"/>
      <c r="N333" s="1"/>
      <c r="O333" s="1"/>
      <c r="P333" s="1"/>
      <c r="Q333" s="1"/>
      <c r="R333" s="1"/>
    </row>
    <row r="334" ht="24.75" customHeight="1">
      <c r="A334" s="1"/>
      <c r="B334" s="1" t="str">
        <f>IF(EDATE(DATE(YEAR(IF(COUNT(Inversiones!$F$30:$F$149)=0,'Configuración'!$C$8,MIN(Inversiones!$F$30:$F$149))),MONTH(IF(COUNT(Inversiones!$F$30:$F$149)=0,'Configuración'!$C$8,MIN(Inversiones!$F$30:$F$149))),1),INT(56/MAX(1,COUNTA(Inversiones!$B$30:$B$149))))&gt;EOMONTH('Configuración'!$C$8,0),"",EDATE(DATE(YEAR(IF(COUNT(Inversiones!$F$30:$F$149)=0,'Configuración'!$C$8,MIN(Inversiones!$F$30:$F$149))),MONTH(IF(COUNT(Inversiones!$F$30:$F$149)=0,'Configuración'!$C$8,MIN(Inversiones!$F$30:$F$149))),1),INT(56/MAX(1,COUNTA(Inversiones!$B$30:$B$149)))))</f>
        <v/>
      </c>
      <c r="C334" s="1" t="str">
        <f>IFERROR(__xludf.DUMMYFUNCTION("IF(B334="""","""",IFERROR(INDEX(FILTER(Inversiones!$B$30:$B$149,Inversiones!$B$30:$B$149&lt;&gt;""""),MOD(56,MAX(1,COUNTA(Inversiones!$B$30:$B$149)))+1),""""))"),"")</f>
        <v/>
      </c>
      <c r="D334" s="1" t="str">
        <f>IF(C334="","",MIN(EOMONTH(B334,0),'Configuración'!$C$8))</f>
        <v/>
      </c>
      <c r="E334" s="1">
        <f t="array" ref="E334">IF(C334="",0,IF(D334&lt;INDEX(Inversiones!$F$30:$F$149,MATCH(C334,Inversiones!$B$30:$B$149,0)),0,1))</f>
        <v>0</v>
      </c>
      <c r="F334" s="66" t="str">
        <f t="array" ref="F334">IF(E334=0,"",INDEX(Inversiones!$G$30:$G$149,MATCH(C334,Inversiones!$B$30:$B$149,0))+SUMIFS(Inversiones!$F$156:$F$285,Inversiones!$D$156:$D$285,C334,Inversiones!$C$156:$C$285,"&gt;="&amp;INDEX(Inversiones!$F$30:$F$149,MATCH(C334,Inversiones!$B$30:$B$149,0)),Inversiones!$C$156:$C$285,"&lt;="&amp;D334,Inversiones!$E$156:$E$285,"Compra")-SUMIFS(Inversiones!$F$156:$F$285,Inversiones!$D$156:$D$285,C334,Inversiones!$C$156:$C$285,"&gt;="&amp;INDEX(Inversiones!$F$30:$F$149,MATCH(C334,Inversiones!$B$30:$B$149,0)),Inversiones!$C$156:$C$285,"&lt;="&amp;D334,Inversiones!$E$156:$E$285,"Venta"))</f>
        <v/>
      </c>
      <c r="G334" s="39" t="str">
        <f t="array" ref="G334">IF(E334=0,"",INDEX(Inversiones!$H$30:$H$149,MATCH(C334,Inversiones!$B$30:$B$149,0))+SUMIFS(Inversiones!$J$156:$J$285,Inversiones!$D$156:$D$285,C334,Inversiones!$C$156:$C$285,"&gt;="&amp;INDEX(Inversiones!$F$30:$F$149,MATCH(C334,Inversiones!$B$30:$B$149,0)),Inversiones!$C$156:$C$285,"&lt;="&amp;D334,Inversiones!$E$156:$E$285,"Compra")-SUMIFS(Inversiones!$J$156:$J$285,Inversiones!$D$156:$D$285,C334,Inversiones!$C$156:$C$285,"&gt;="&amp;INDEX(Inversiones!$F$30:$F$149,MATCH(C334,Inversiones!$B$30:$B$149,0)),Inversiones!$C$156:$C$285,"&lt;="&amp;D334,Inversiones!$E$156:$E$285,"Venta"))</f>
        <v/>
      </c>
      <c r="H334" s="1" t="str">
        <f>IF(E334=0,"",MAXIFS(Inversiones!$C$292:$C$921,Inversiones!$B$292:$B$921,C334,Inversiones!$C$292:$C$921,"&lt;="&amp;D334))</f>
        <v/>
      </c>
      <c r="I334" s="1" t="str">
        <f>IF(OR(E334=0,H334=0),"",SUMIFS(Inversiones!$D$292:$D$921,Inversiones!$B$292:$B$921,C334,Inversiones!$C$292:$C$921,H334))</f>
        <v/>
      </c>
      <c r="J334" s="1" t="str">
        <f t="shared" si="9"/>
        <v/>
      </c>
      <c r="K334" s="1">
        <f t="shared" si="10"/>
        <v>0</v>
      </c>
      <c r="L334" s="1"/>
      <c r="M334" s="1"/>
      <c r="N334" s="1"/>
      <c r="O334" s="1"/>
      <c r="P334" s="1"/>
      <c r="Q334" s="1"/>
      <c r="R334" s="1"/>
    </row>
    <row r="335" ht="24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ht="24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ht="24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ht="24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ht="24.75" customHeight="1">
      <c r="A339" s="1"/>
      <c r="B339" s="1" t="s">
        <v>40</v>
      </c>
      <c r="C339" s="1" t="s">
        <v>48</v>
      </c>
      <c r="D339" s="1"/>
      <c r="E339" s="1" t="s">
        <v>32</v>
      </c>
      <c r="F339" s="1" t="s">
        <v>48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ht="24.75" customHeight="1">
      <c r="A340" s="1"/>
      <c r="B340" s="1" t="s">
        <v>115</v>
      </c>
      <c r="C340" s="1">
        <f>IF(COUNT($D$5)=0,"",SUMIFS(tProductos[Valor],tProductos[Clase],B340))</f>
        <v>0</v>
      </c>
      <c r="D340" s="1"/>
      <c r="E340" s="1" t="str">
        <f>IFERROR(__xludf.DUMMYFUNCTION("IFERROR(INDEX(FILTER(Inversiones!$C$30:$C$149,Inversiones!$B$30:$B$149&lt;&gt;""""),1),"""")"),"")</f>
        <v/>
      </c>
      <c r="F340" s="39" t="str">
        <f t="array" ref="F340">IF(E340="","",INDEX(Inversiones!$K$30:$K$149,MATCH(E340,Inversiones!$C$30:$C$149,0)))</f>
        <v/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ht="24.75" customHeight="1">
      <c r="A341" s="1"/>
      <c r="B341" s="1" t="s">
        <v>116</v>
      </c>
      <c r="C341" s="1">
        <f>IF(COUNT($D$5)=0,"",SUMIFS(tProductos[Valor],tProductos[Clase],B341))</f>
        <v>0</v>
      </c>
      <c r="D341" s="1"/>
      <c r="E341" s="1" t="str">
        <f>IFERROR(__xludf.DUMMYFUNCTION("IFERROR(INDEX(FILTER(Inversiones!$C$30:$C$149,Inversiones!$B$30:$B$149&lt;&gt;""""),2),"""")"),"")</f>
        <v/>
      </c>
      <c r="F341" s="39" t="str">
        <f t="array" ref="F341">IF(E341="","",INDEX(Inversiones!$K$30:$K$149,MATCH(E341,Inversiones!$C$30:$C$149,0)))</f>
        <v/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ht="24.75" customHeight="1">
      <c r="A342" s="1"/>
      <c r="B342" s="1"/>
      <c r="C342" s="1"/>
      <c r="D342" s="1"/>
      <c r="E342" s="1" t="str">
        <f>IFERROR(__xludf.DUMMYFUNCTION("IFERROR(INDEX(FILTER(Inversiones!$C$30:$C$149,Inversiones!$B$30:$B$149&lt;&gt;""""),3),"""")"),"")</f>
        <v/>
      </c>
      <c r="F342" s="39" t="str">
        <f t="array" ref="F342">IF(E342="","",INDEX(Inversiones!$K$30:$K$149,MATCH(E342,Inversiones!$C$30:$C$149,0)))</f>
        <v/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ht="24.75" customHeight="1">
      <c r="A343" s="1"/>
      <c r="B343" s="1"/>
      <c r="C343" s="1"/>
      <c r="D343" s="1"/>
      <c r="E343" s="1" t="str">
        <f>IFERROR(__xludf.DUMMYFUNCTION("IFERROR(INDEX(FILTER(Inversiones!$C$30:$C$149,Inversiones!$B$30:$B$149&lt;&gt;""""),4),"""")"),"")</f>
        <v/>
      </c>
      <c r="F343" s="39" t="str">
        <f t="array" ref="F343">IF(E343="","",INDEX(Inversiones!$K$30:$K$149,MATCH(E343,Inversiones!$C$30:$C$149,0)))</f>
        <v/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ht="24.75" customHeight="1">
      <c r="A344" s="1"/>
      <c r="B344" s="1"/>
      <c r="C344" s="1"/>
      <c r="D344" s="1"/>
      <c r="E344" s="1" t="str">
        <f>IFERROR(__xludf.DUMMYFUNCTION("IFERROR(INDEX(FILTER(Inversiones!$C$30:$C$149,Inversiones!$B$30:$B$149&lt;&gt;""""),5),"""")"),"")</f>
        <v/>
      </c>
      <c r="F344" s="39" t="str">
        <f t="array" ref="F344">IF(E344="","",INDEX(Inversiones!$K$30:$K$149,MATCH(E344,Inversiones!$C$30:$C$149,0)))</f>
        <v/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ht="24.75" customHeight="1">
      <c r="A345" s="1"/>
      <c r="B345" s="1"/>
      <c r="C345" s="1"/>
      <c r="D345" s="1"/>
      <c r="E345" s="1" t="str">
        <f>IFERROR(__xludf.DUMMYFUNCTION("IFERROR(INDEX(FILTER(Inversiones!$C$30:$C$149,Inversiones!$B$30:$B$149&lt;&gt;""""),6),"""")"),"")</f>
        <v/>
      </c>
      <c r="F345" s="39" t="str">
        <f t="array" ref="F345">IF(E345="","",INDEX(Inversiones!$K$30:$K$149,MATCH(E345,Inversiones!$C$30:$C$149,0)))</f>
        <v/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ht="24.75" customHeight="1">
      <c r="A346" s="1"/>
      <c r="B346" s="1"/>
      <c r="C346" s="1"/>
      <c r="D346" s="1"/>
      <c r="E346" s="1" t="str">
        <f>IFERROR(__xludf.DUMMYFUNCTION("IFERROR(INDEX(FILTER(Inversiones!$C$30:$C$149,Inversiones!$B$30:$B$149&lt;&gt;""""),7),"""")"),"")</f>
        <v/>
      </c>
      <c r="F346" s="39" t="str">
        <f t="array" ref="F346">IF(E346="","",INDEX(Inversiones!$K$30:$K$149,MATCH(E346,Inversiones!$C$30:$C$149,0)))</f>
        <v/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ht="24.75" customHeight="1">
      <c r="A347" s="1"/>
      <c r="B347" s="1"/>
      <c r="C347" s="1"/>
      <c r="D347" s="1"/>
      <c r="E347" s="1" t="str">
        <f>IFERROR(__xludf.DUMMYFUNCTION("IFERROR(INDEX(FILTER(Inversiones!$C$30:$C$149,Inversiones!$B$30:$B$149&lt;&gt;""""),8),"""")"),"")</f>
        <v/>
      </c>
      <c r="F347" s="39" t="str">
        <f t="array" ref="F347">IF(E347="","",INDEX(Inversiones!$K$30:$K$149,MATCH(E347,Inversiones!$C$30:$C$149,0)))</f>
        <v/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ht="24.75" customHeight="1">
      <c r="A348" s="1"/>
      <c r="B348" s="1"/>
      <c r="C348" s="1"/>
      <c r="D348" s="1"/>
      <c r="E348" s="1" t="str">
        <f>IFERROR(__xludf.DUMMYFUNCTION("IFERROR(INDEX(FILTER(Inversiones!$C$30:$C$149,Inversiones!$B$30:$B$149&lt;&gt;""""),9),"""")"),"")</f>
        <v/>
      </c>
      <c r="F348" s="39" t="str">
        <f t="array" ref="F348">IF(E348="","",INDEX(Inversiones!$K$30:$K$149,MATCH(E348,Inversiones!$C$30:$C$149,0)))</f>
        <v/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ht="24.75" customHeight="1">
      <c r="A349" s="1"/>
      <c r="B349" s="1"/>
      <c r="C349" s="1"/>
      <c r="D349" s="1"/>
      <c r="E349" s="1" t="str">
        <f>IFERROR(__xludf.DUMMYFUNCTION("IFERROR(INDEX(FILTER(Inversiones!$C$30:$C$149,Inversiones!$B$30:$B$149&lt;&gt;""""),10),"""")"),"")</f>
        <v/>
      </c>
      <c r="F349" s="39" t="str">
        <f t="array" ref="F349">IF(E349="","",INDEX(Inversiones!$K$30:$K$149,MATCH(E349,Inversiones!$C$30:$C$149,0)))</f>
        <v/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ht="24.75" customHeight="1">
      <c r="A350" s="1"/>
      <c r="B350" s="1"/>
      <c r="C350" s="1"/>
      <c r="D350" s="1"/>
      <c r="E350" s="1" t="str">
        <f>IFERROR(__xludf.DUMMYFUNCTION("IFERROR(INDEX(FILTER(Inversiones!$C$30:$C$149,Inversiones!$B$30:$B$149&lt;&gt;""""),11),"""")"),"")</f>
        <v/>
      </c>
      <c r="F350" s="39" t="str">
        <f t="array" ref="F350">IF(E350="","",INDEX(Inversiones!$K$30:$K$149,MATCH(E350,Inversiones!$C$30:$C$149,0)))</f>
        <v/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ht="24.75" customHeight="1">
      <c r="A351" s="1"/>
      <c r="B351" s="1"/>
      <c r="C351" s="1"/>
      <c r="D351" s="1"/>
      <c r="E351" s="1" t="str">
        <f>IFERROR(__xludf.DUMMYFUNCTION("IFERROR(INDEX(FILTER(Inversiones!$C$30:$C$149,Inversiones!$B$30:$B$149&lt;&gt;""""),12),"""")"),"")</f>
        <v/>
      </c>
      <c r="F351" s="39" t="str">
        <f t="array" ref="F351">IF(E351="","",INDEX(Inversiones!$K$30:$K$149,MATCH(E351,Inversiones!$C$30:$C$149,0)))</f>
        <v/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ht="24.75" customHeight="1">
      <c r="A352" s="1"/>
      <c r="B352" s="1"/>
      <c r="C352" s="1"/>
      <c r="D352" s="1"/>
      <c r="E352" s="1" t="str">
        <f>IFERROR(__xludf.DUMMYFUNCTION("IFERROR(INDEX(FILTER(Inversiones!$C$30:$C$149,Inversiones!$B$30:$B$149&lt;&gt;""""),13),"""")"),"")</f>
        <v/>
      </c>
      <c r="F352" s="39" t="str">
        <f t="array" ref="F352">IF(E352="","",INDEX(Inversiones!$K$30:$K$149,MATCH(E352,Inversiones!$C$30:$C$149,0)))</f>
        <v/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ht="24.75" customHeight="1">
      <c r="A353" s="1"/>
      <c r="B353" s="1"/>
      <c r="C353" s="1"/>
      <c r="D353" s="1"/>
      <c r="E353" s="1" t="str">
        <f>IFERROR(__xludf.DUMMYFUNCTION("IFERROR(INDEX(FILTER(Inversiones!$C$30:$C$149,Inversiones!$B$30:$B$149&lt;&gt;""""),14),"""")"),"")</f>
        <v/>
      </c>
      <c r="F353" s="39" t="str">
        <f t="array" ref="F353">IF(E353="","",INDEX(Inversiones!$K$30:$K$149,MATCH(E353,Inversiones!$C$30:$C$149,0)))</f>
        <v/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ht="24.75" customHeight="1">
      <c r="A354" s="1"/>
      <c r="B354" s="1"/>
      <c r="C354" s="1"/>
      <c r="D354" s="1"/>
      <c r="E354" s="1" t="str">
        <f>IFERROR(__xludf.DUMMYFUNCTION("IFERROR(INDEX(FILTER(Inversiones!$C$30:$C$149,Inversiones!$B$30:$B$149&lt;&gt;""""),15),"""")"),"")</f>
        <v/>
      </c>
      <c r="F354" s="39" t="str">
        <f t="array" ref="F354">IF(E354="","",INDEX(Inversiones!$K$30:$K$149,MATCH(E354,Inversiones!$C$30:$C$149,0)))</f>
        <v/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ht="24.75" customHeight="1">
      <c r="A355" s="1"/>
      <c r="B355" s="1"/>
      <c r="C355" s="1"/>
      <c r="D355" s="1"/>
      <c r="E355" s="1" t="str">
        <f>IFERROR(__xludf.DUMMYFUNCTION("IFERROR(INDEX(FILTER(Inversiones!$C$30:$C$149,Inversiones!$B$30:$B$149&lt;&gt;""""),16),"""")"),"")</f>
        <v/>
      </c>
      <c r="F355" s="39" t="str">
        <f t="array" ref="F355">IF(E355="","",INDEX(Inversiones!$K$30:$K$149,MATCH(E355,Inversiones!$C$30:$C$149,0)))</f>
        <v/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ht="24.75" customHeight="1">
      <c r="A356" s="1"/>
      <c r="B356" s="1"/>
      <c r="C356" s="1"/>
      <c r="D356" s="1"/>
      <c r="E356" s="1" t="str">
        <f>IFERROR(__xludf.DUMMYFUNCTION("IFERROR(INDEX(FILTER(Inversiones!$C$30:$C$149,Inversiones!$B$30:$B$149&lt;&gt;""""),17),"""")"),"")</f>
        <v/>
      </c>
      <c r="F356" s="39" t="str">
        <f t="array" ref="F356">IF(E356="","",INDEX(Inversiones!$K$30:$K$149,MATCH(E356,Inversiones!$C$30:$C$149,0)))</f>
        <v/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ht="24.75" customHeight="1">
      <c r="A357" s="1"/>
      <c r="B357" s="1"/>
      <c r="C357" s="1"/>
      <c r="D357" s="1"/>
      <c r="E357" s="1" t="str">
        <f>IFERROR(__xludf.DUMMYFUNCTION("IFERROR(INDEX(FILTER(Inversiones!$C$30:$C$149,Inversiones!$B$30:$B$149&lt;&gt;""""),18),"""")"),"")</f>
        <v/>
      </c>
      <c r="F357" s="39" t="str">
        <f t="array" ref="F357">IF(E357="","",INDEX(Inversiones!$K$30:$K$149,MATCH(E357,Inversiones!$C$30:$C$149,0)))</f>
        <v/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ht="24.75" customHeight="1">
      <c r="A358" s="1"/>
      <c r="B358" s="1"/>
      <c r="C358" s="1"/>
      <c r="D358" s="1"/>
      <c r="E358" s="1" t="str">
        <f>IFERROR(__xludf.DUMMYFUNCTION("IFERROR(INDEX(FILTER(Inversiones!$C$30:$C$149,Inversiones!$B$30:$B$149&lt;&gt;""""),19),"""")"),"")</f>
        <v/>
      </c>
      <c r="F358" s="39" t="str">
        <f t="array" ref="F358">IF(E358="","",INDEX(Inversiones!$K$30:$K$149,MATCH(E358,Inversiones!$C$30:$C$149,0)))</f>
        <v/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ht="24.75" customHeight="1">
      <c r="A359" s="1"/>
      <c r="B359" s="1"/>
      <c r="C359" s="1"/>
      <c r="D359" s="1"/>
      <c r="E359" s="1" t="str">
        <f>IFERROR(__xludf.DUMMYFUNCTION("IFERROR(INDEX(FILTER(Inversiones!$C$30:$C$149,Inversiones!$B$30:$B$149&lt;&gt;""""),20),"""")"),"")</f>
        <v/>
      </c>
      <c r="F359" s="39" t="str">
        <f t="array" ref="F359">IF(E359="","",INDEX(Inversiones!$K$30:$K$149,MATCH(E359,Inversiones!$C$30:$C$149,0)))</f>
        <v/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ht="24.75" customHeight="1">
      <c r="A360" s="1"/>
      <c r="B360" s="1"/>
      <c r="C360" s="1"/>
      <c r="D360" s="1"/>
      <c r="E360" s="1" t="str">
        <f>IFERROR(__xludf.DUMMYFUNCTION("IFERROR(INDEX(FILTER(Inversiones!$C$30:$C$149,Inversiones!$B$30:$B$149&lt;&gt;""""),21),"""")"),"")</f>
        <v/>
      </c>
      <c r="F360" s="39" t="str">
        <f t="array" ref="F360">IF(E360="","",INDEX(Inversiones!$K$30:$K$149,MATCH(E360,Inversiones!$C$30:$C$149,0)))</f>
        <v/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ht="24.75" customHeight="1">
      <c r="A361" s="1"/>
      <c r="B361" s="1"/>
      <c r="C361" s="1"/>
      <c r="D361" s="1"/>
      <c r="E361" s="1" t="str">
        <f>IFERROR(__xludf.DUMMYFUNCTION("IFERROR(INDEX(FILTER(Inversiones!$C$30:$C$149,Inversiones!$B$30:$B$149&lt;&gt;""""),22),"""")"),"")</f>
        <v/>
      </c>
      <c r="F361" s="39" t="str">
        <f t="array" ref="F361">IF(E361="","",INDEX(Inversiones!$K$30:$K$149,MATCH(E361,Inversiones!$C$30:$C$149,0)))</f>
        <v/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ht="24.75" customHeight="1">
      <c r="A362" s="1"/>
      <c r="B362" s="1"/>
      <c r="C362" s="1"/>
      <c r="D362" s="1"/>
      <c r="E362" s="1" t="str">
        <f>IFERROR(__xludf.DUMMYFUNCTION("IFERROR(INDEX(FILTER(Inversiones!$C$30:$C$149,Inversiones!$B$30:$B$149&lt;&gt;""""),23),"""")"),"")</f>
        <v/>
      </c>
      <c r="F362" s="39" t="str">
        <f t="array" ref="F362">IF(E362="","",INDEX(Inversiones!$K$30:$K$149,MATCH(E362,Inversiones!$C$30:$C$149,0)))</f>
        <v/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ht="24.75" customHeight="1">
      <c r="A363" s="1"/>
      <c r="B363" s="1"/>
      <c r="C363" s="1"/>
      <c r="D363" s="1"/>
      <c r="E363" s="1" t="str">
        <f>IFERROR(__xludf.DUMMYFUNCTION("IFERROR(INDEX(FILTER(Inversiones!$C$30:$C$149,Inversiones!$B$30:$B$149&lt;&gt;""""),24),"""")"),"")</f>
        <v/>
      </c>
      <c r="F363" s="39" t="str">
        <f t="array" ref="F363">IF(E363="","",INDEX(Inversiones!$K$30:$K$149,MATCH(E363,Inversiones!$C$30:$C$149,0)))</f>
        <v/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ht="24.75" customHeight="1">
      <c r="A364" s="1"/>
      <c r="B364" s="1"/>
      <c r="C364" s="1"/>
      <c r="D364" s="1"/>
      <c r="E364" s="1" t="str">
        <f>IFERROR(__xludf.DUMMYFUNCTION("IFERROR(INDEX(FILTER(Inversiones!$C$30:$C$149,Inversiones!$B$30:$B$149&lt;&gt;""""),25),"""")"),"")</f>
        <v/>
      </c>
      <c r="F364" s="39" t="str">
        <f t="array" ref="F364">IF(E364="","",INDEX(Inversiones!$K$30:$K$149,MATCH(E364,Inversiones!$C$30:$C$149,0)))</f>
        <v/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ht="24.75" customHeight="1">
      <c r="A365" s="1"/>
      <c r="B365" s="1"/>
      <c r="C365" s="1"/>
      <c r="D365" s="1"/>
      <c r="E365" s="1" t="str">
        <f>IFERROR(__xludf.DUMMYFUNCTION("IFERROR(INDEX(FILTER(Inversiones!$C$30:$C$149,Inversiones!$B$30:$B$149&lt;&gt;""""),26),"""")"),"")</f>
        <v/>
      </c>
      <c r="F365" s="39" t="str">
        <f t="array" ref="F365">IF(E365="","",INDEX(Inversiones!$K$30:$K$149,MATCH(E365,Inversiones!$C$30:$C$149,0)))</f>
        <v/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ht="24.75" customHeight="1">
      <c r="A366" s="1"/>
      <c r="B366" s="1"/>
      <c r="C366" s="1"/>
      <c r="D366" s="1"/>
      <c r="E366" s="1" t="str">
        <f>IFERROR(__xludf.DUMMYFUNCTION("IFERROR(INDEX(FILTER(Inversiones!$C$30:$C$149,Inversiones!$B$30:$B$149&lt;&gt;""""),27),"""")"),"")</f>
        <v/>
      </c>
      <c r="F366" s="39" t="str">
        <f t="array" ref="F366">IF(E366="","",INDEX(Inversiones!$K$30:$K$149,MATCH(E366,Inversiones!$C$30:$C$149,0)))</f>
        <v/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ht="24.75" customHeight="1">
      <c r="A367" s="1"/>
      <c r="B367" s="1"/>
      <c r="C367" s="1"/>
      <c r="D367" s="1"/>
      <c r="E367" s="1" t="str">
        <f>IFERROR(__xludf.DUMMYFUNCTION("IFERROR(INDEX(FILTER(Inversiones!$C$30:$C$149,Inversiones!$B$30:$B$149&lt;&gt;""""),28),"""")"),"")</f>
        <v/>
      </c>
      <c r="F367" s="39" t="str">
        <f t="array" ref="F367">IF(E367="","",INDEX(Inversiones!$K$30:$K$149,MATCH(E367,Inversiones!$C$30:$C$149,0)))</f>
        <v/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ht="24.75" customHeight="1">
      <c r="A368" s="1"/>
      <c r="B368" s="1"/>
      <c r="C368" s="1"/>
      <c r="D368" s="1"/>
      <c r="E368" s="1" t="str">
        <f>IFERROR(__xludf.DUMMYFUNCTION("IFERROR(INDEX(FILTER(Inversiones!$C$30:$C$149,Inversiones!$B$30:$B$149&lt;&gt;""""),29),"""")"),"")</f>
        <v/>
      </c>
      <c r="F368" s="39" t="str">
        <f t="array" ref="F368">IF(E368="","",INDEX(Inversiones!$K$30:$K$149,MATCH(E368,Inversiones!$C$30:$C$149,0)))</f>
        <v/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ht="24.75" customHeight="1">
      <c r="A369" s="1"/>
      <c r="B369" s="1"/>
      <c r="C369" s="1"/>
      <c r="D369" s="1"/>
      <c r="E369" s="1" t="str">
        <f>IFERROR(__xludf.DUMMYFUNCTION("IFERROR(INDEX(FILTER(Inversiones!$C$30:$C$149,Inversiones!$B$30:$B$149&lt;&gt;""""),30),"""")"),"")</f>
        <v/>
      </c>
      <c r="F369" s="39" t="str">
        <f t="array" ref="F369">IF(E369="","",INDEX(Inversiones!$K$30:$K$149,MATCH(E369,Inversiones!$C$30:$C$149,0)))</f>
        <v/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ht="24.75" customHeight="1">
      <c r="A370" s="1"/>
      <c r="B370" s="1"/>
      <c r="C370" s="1"/>
      <c r="D370" s="1"/>
      <c r="E370" s="1" t="str">
        <f>IFERROR(__xludf.DUMMYFUNCTION("IFERROR(INDEX(FILTER(Inversiones!$C$30:$C$149,Inversiones!$B$30:$B$149&lt;&gt;""""),31),"""")"),"")</f>
        <v/>
      </c>
      <c r="F370" s="39" t="str">
        <f t="array" ref="F370">IF(E370="","",INDEX(Inversiones!$K$30:$K$149,MATCH(E370,Inversiones!$C$30:$C$149,0)))</f>
        <v/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ht="24.75" customHeight="1">
      <c r="A371" s="1"/>
      <c r="B371" s="1"/>
      <c r="C371" s="1"/>
      <c r="D371" s="1"/>
      <c r="E371" s="1" t="str">
        <f>IFERROR(__xludf.DUMMYFUNCTION("IFERROR(INDEX(FILTER(Inversiones!$C$30:$C$149,Inversiones!$B$30:$B$149&lt;&gt;""""),32),"""")"),"")</f>
        <v/>
      </c>
      <c r="F371" s="39" t="str">
        <f t="array" ref="F371">IF(E371="","",INDEX(Inversiones!$K$30:$K$149,MATCH(E371,Inversiones!$C$30:$C$149,0)))</f>
        <v/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ht="24.75" customHeight="1">
      <c r="A372" s="1"/>
      <c r="B372" s="1"/>
      <c r="C372" s="1"/>
      <c r="D372" s="1"/>
      <c r="E372" s="1" t="str">
        <f>IFERROR(__xludf.DUMMYFUNCTION("IFERROR(INDEX(FILTER(Inversiones!$C$30:$C$149,Inversiones!$B$30:$B$149&lt;&gt;""""),33),"""")"),"")</f>
        <v/>
      </c>
      <c r="F372" s="39" t="str">
        <f t="array" ref="F372">IF(E372="","",INDEX(Inversiones!$K$30:$K$149,MATCH(E372,Inversiones!$C$30:$C$149,0)))</f>
        <v/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ht="24.75" customHeight="1">
      <c r="A373" s="1"/>
      <c r="B373" s="1"/>
      <c r="C373" s="1"/>
      <c r="D373" s="1"/>
      <c r="E373" s="1" t="str">
        <f>IFERROR(__xludf.DUMMYFUNCTION("IFERROR(INDEX(FILTER(Inversiones!$C$30:$C$149,Inversiones!$B$30:$B$149&lt;&gt;""""),34),"""")"),"")</f>
        <v/>
      </c>
      <c r="F373" s="39" t="str">
        <f t="array" ref="F373">IF(E373="","",INDEX(Inversiones!$K$30:$K$149,MATCH(E373,Inversiones!$C$30:$C$149,0)))</f>
        <v/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ht="24.75" customHeight="1">
      <c r="A374" s="1"/>
      <c r="B374" s="1"/>
      <c r="C374" s="1"/>
      <c r="D374" s="1"/>
      <c r="E374" s="1" t="str">
        <f>IFERROR(__xludf.DUMMYFUNCTION("IFERROR(INDEX(FILTER(Inversiones!$C$30:$C$149,Inversiones!$B$30:$B$149&lt;&gt;""""),35),"""")"),"")</f>
        <v/>
      </c>
      <c r="F374" s="39" t="str">
        <f t="array" ref="F374">IF(E374="","",INDEX(Inversiones!$K$30:$K$149,MATCH(E374,Inversiones!$C$30:$C$149,0)))</f>
        <v/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ht="24.75" customHeight="1">
      <c r="A375" s="1"/>
      <c r="B375" s="1"/>
      <c r="C375" s="1"/>
      <c r="D375" s="1"/>
      <c r="E375" s="1" t="str">
        <f>IFERROR(__xludf.DUMMYFUNCTION("IFERROR(INDEX(FILTER(Inversiones!$C$30:$C$149,Inversiones!$B$30:$B$149&lt;&gt;""""),36),"""")"),"")</f>
        <v/>
      </c>
      <c r="F375" s="39" t="str">
        <f t="array" ref="F375">IF(E375="","",INDEX(Inversiones!$K$30:$K$149,MATCH(E375,Inversiones!$C$30:$C$149,0)))</f>
        <v/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ht="24.75" customHeight="1">
      <c r="A376" s="1"/>
      <c r="B376" s="1"/>
      <c r="C376" s="1"/>
      <c r="D376" s="1"/>
      <c r="E376" s="1" t="str">
        <f>IFERROR(__xludf.DUMMYFUNCTION("IFERROR(INDEX(FILTER(Inversiones!$C$30:$C$149,Inversiones!$B$30:$B$149&lt;&gt;""""),37),"""")"),"")</f>
        <v/>
      </c>
      <c r="F376" s="39" t="str">
        <f t="array" ref="F376">IF(E376="","",INDEX(Inversiones!$K$30:$K$149,MATCH(E376,Inversiones!$C$30:$C$149,0)))</f>
        <v/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ht="24.75" customHeight="1">
      <c r="A377" s="1"/>
      <c r="B377" s="1"/>
      <c r="C377" s="1"/>
      <c r="D377" s="1"/>
      <c r="E377" s="1" t="str">
        <f>IFERROR(__xludf.DUMMYFUNCTION("IFERROR(INDEX(FILTER(Inversiones!$C$30:$C$149,Inversiones!$B$30:$B$149&lt;&gt;""""),38),"""")"),"")</f>
        <v/>
      </c>
      <c r="F377" s="39" t="str">
        <f t="array" ref="F377">IF(E377="","",INDEX(Inversiones!$K$30:$K$149,MATCH(E377,Inversiones!$C$30:$C$149,0)))</f>
        <v/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ht="24.75" customHeight="1">
      <c r="A378" s="1"/>
      <c r="B378" s="1"/>
      <c r="C378" s="1"/>
      <c r="D378" s="1"/>
      <c r="E378" s="1" t="str">
        <f>IFERROR(__xludf.DUMMYFUNCTION("IFERROR(INDEX(FILTER(Inversiones!$C$30:$C$149,Inversiones!$B$30:$B$149&lt;&gt;""""),39),"""")"),"")</f>
        <v/>
      </c>
      <c r="F378" s="39" t="str">
        <f t="array" ref="F378">IF(E378="","",INDEX(Inversiones!$K$30:$K$149,MATCH(E378,Inversiones!$C$30:$C$149,0)))</f>
        <v/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ht="24.75" customHeight="1">
      <c r="A379" s="1"/>
      <c r="B379" s="1"/>
      <c r="C379" s="1"/>
      <c r="D379" s="1"/>
      <c r="E379" s="1" t="str">
        <f>IFERROR(__xludf.DUMMYFUNCTION("IFERROR(INDEX(FILTER(Inversiones!$C$30:$C$149,Inversiones!$B$30:$B$149&lt;&gt;""""),40),"""")"),"")</f>
        <v/>
      </c>
      <c r="F379" s="39" t="str">
        <f t="array" ref="F379">IF(E379="","",INDEX(Inversiones!$K$30:$K$149,MATCH(E379,Inversiones!$C$30:$C$149,0)))</f>
        <v/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ht="24.75" customHeight="1">
      <c r="A380" s="1"/>
      <c r="B380" s="1"/>
      <c r="C380" s="1"/>
      <c r="D380" s="1"/>
      <c r="E380" s="1" t="str">
        <f>IFERROR(__xludf.DUMMYFUNCTION("IFERROR(INDEX(FILTER(Inversiones!$C$30:$C$149,Inversiones!$B$30:$B$149&lt;&gt;""""),41),"""")"),"")</f>
        <v/>
      </c>
      <c r="F380" s="39" t="str">
        <f t="array" ref="F380">IF(E380="","",INDEX(Inversiones!$K$30:$K$149,MATCH(E380,Inversiones!$C$30:$C$149,0)))</f>
        <v/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ht="24.75" customHeight="1">
      <c r="A381" s="1"/>
      <c r="B381" s="1"/>
      <c r="C381" s="1"/>
      <c r="D381" s="1"/>
      <c r="E381" s="1" t="str">
        <f>IFERROR(__xludf.DUMMYFUNCTION("IFERROR(INDEX(FILTER(Inversiones!$C$30:$C$149,Inversiones!$B$30:$B$149&lt;&gt;""""),42),"""")"),"")</f>
        <v/>
      </c>
      <c r="F381" s="39" t="str">
        <f t="array" ref="F381">IF(E381="","",INDEX(Inversiones!$K$30:$K$149,MATCH(E381,Inversiones!$C$30:$C$149,0)))</f>
        <v/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ht="24.75" customHeight="1">
      <c r="A382" s="1"/>
      <c r="B382" s="1"/>
      <c r="C382" s="1"/>
      <c r="D382" s="1"/>
      <c r="E382" s="1" t="str">
        <f>IFERROR(__xludf.DUMMYFUNCTION("IFERROR(INDEX(FILTER(Inversiones!$C$30:$C$149,Inversiones!$B$30:$B$149&lt;&gt;""""),43),"""")"),"")</f>
        <v/>
      </c>
      <c r="F382" s="39" t="str">
        <f t="array" ref="F382">IF(E382="","",INDEX(Inversiones!$K$30:$K$149,MATCH(E382,Inversiones!$C$30:$C$149,0)))</f>
        <v/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ht="24.75" customHeight="1">
      <c r="A383" s="1"/>
      <c r="B383" s="1"/>
      <c r="C383" s="1"/>
      <c r="D383" s="1"/>
      <c r="E383" s="1" t="str">
        <f>IFERROR(__xludf.DUMMYFUNCTION("IFERROR(INDEX(FILTER(Inversiones!$C$30:$C$149,Inversiones!$B$30:$B$149&lt;&gt;""""),44),"""")"),"")</f>
        <v/>
      </c>
      <c r="F383" s="39" t="str">
        <f t="array" ref="F383">IF(E383="","",INDEX(Inversiones!$K$30:$K$149,MATCH(E383,Inversiones!$C$30:$C$149,0)))</f>
        <v/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ht="24.75" customHeight="1">
      <c r="A384" s="1"/>
      <c r="B384" s="1"/>
      <c r="C384" s="1"/>
      <c r="D384" s="1"/>
      <c r="E384" s="1" t="str">
        <f>IFERROR(__xludf.DUMMYFUNCTION("IFERROR(INDEX(FILTER(Inversiones!$C$30:$C$149,Inversiones!$B$30:$B$149&lt;&gt;""""),45),"""")"),"")</f>
        <v/>
      </c>
      <c r="F384" s="39" t="str">
        <f t="array" ref="F384">IF(E384="","",INDEX(Inversiones!$K$30:$K$149,MATCH(E384,Inversiones!$C$30:$C$149,0)))</f>
        <v/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ht="24.75" customHeight="1">
      <c r="A385" s="1"/>
      <c r="B385" s="1"/>
      <c r="C385" s="1"/>
      <c r="D385" s="1"/>
      <c r="E385" s="1" t="str">
        <f>IFERROR(__xludf.DUMMYFUNCTION("IFERROR(INDEX(FILTER(Inversiones!$C$30:$C$149,Inversiones!$B$30:$B$149&lt;&gt;""""),46),"""")"),"")</f>
        <v/>
      </c>
      <c r="F385" s="39" t="str">
        <f t="array" ref="F385">IF(E385="","",INDEX(Inversiones!$K$30:$K$149,MATCH(E385,Inversiones!$C$30:$C$149,0)))</f>
        <v/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ht="24.75" customHeight="1">
      <c r="A386" s="1"/>
      <c r="B386" s="1"/>
      <c r="C386" s="1"/>
      <c r="D386" s="1"/>
      <c r="E386" s="1" t="str">
        <f>IFERROR(__xludf.DUMMYFUNCTION("IFERROR(INDEX(FILTER(Inversiones!$C$30:$C$149,Inversiones!$B$30:$B$149&lt;&gt;""""),47),"""")"),"")</f>
        <v/>
      </c>
      <c r="F386" s="39" t="str">
        <f t="array" ref="F386">IF(E386="","",INDEX(Inversiones!$K$30:$K$149,MATCH(E386,Inversiones!$C$30:$C$149,0)))</f>
        <v/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ht="24.75" customHeight="1">
      <c r="A387" s="1"/>
      <c r="B387" s="1"/>
      <c r="C387" s="1"/>
      <c r="D387" s="1"/>
      <c r="E387" s="1" t="str">
        <f>IFERROR(__xludf.DUMMYFUNCTION("IFERROR(INDEX(FILTER(Inversiones!$C$30:$C$149,Inversiones!$B$30:$B$149&lt;&gt;""""),48),"""")"),"")</f>
        <v/>
      </c>
      <c r="F387" s="39" t="str">
        <f t="array" ref="F387">IF(E387="","",INDEX(Inversiones!$K$30:$K$149,MATCH(E387,Inversiones!$C$30:$C$149,0)))</f>
        <v/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ht="24.75" customHeight="1">
      <c r="A388" s="1"/>
      <c r="B388" s="1"/>
      <c r="C388" s="1"/>
      <c r="D388" s="1"/>
      <c r="E388" s="1" t="str">
        <f>IFERROR(__xludf.DUMMYFUNCTION("IFERROR(INDEX(FILTER(Inversiones!$C$30:$C$149,Inversiones!$B$30:$B$149&lt;&gt;""""),49),"""")"),"")</f>
        <v/>
      </c>
      <c r="F388" s="39" t="str">
        <f t="array" ref="F388">IF(E388="","",INDEX(Inversiones!$K$30:$K$149,MATCH(E388,Inversiones!$C$30:$C$149,0)))</f>
        <v/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ht="24.75" customHeight="1">
      <c r="A389" s="1"/>
      <c r="B389" s="1"/>
      <c r="C389" s="1"/>
      <c r="D389" s="1"/>
      <c r="E389" s="1" t="str">
        <f>IFERROR(__xludf.DUMMYFUNCTION("IFERROR(INDEX(FILTER(Inversiones!$C$30:$C$149,Inversiones!$B$30:$B$149&lt;&gt;""""),50),"""")"),"")</f>
        <v/>
      </c>
      <c r="F389" s="39" t="str">
        <f t="array" ref="F389">IF(E389="","",INDEX(Inversiones!$K$30:$K$149,MATCH(E389,Inversiones!$C$30:$C$149,0)))</f>
        <v/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ht="24.75" customHeight="1">
      <c r="A390" s="1"/>
      <c r="B390" s="1"/>
      <c r="C390" s="1"/>
      <c r="D390" s="1"/>
      <c r="E390" s="1" t="str">
        <f>IFERROR(__xludf.DUMMYFUNCTION("IFERROR(INDEX(FILTER(Inversiones!$C$30:$C$149,Inversiones!$B$30:$B$149&lt;&gt;""""),51),"""")"),"")</f>
        <v/>
      </c>
      <c r="F390" s="39" t="str">
        <f t="array" ref="F390">IF(E390="","",INDEX(Inversiones!$K$30:$K$149,MATCH(E390,Inversiones!$C$30:$C$149,0)))</f>
        <v/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ht="24.75" customHeight="1">
      <c r="A391" s="1"/>
      <c r="B391" s="1"/>
      <c r="C391" s="1"/>
      <c r="D391" s="1"/>
      <c r="E391" s="1" t="str">
        <f>IFERROR(__xludf.DUMMYFUNCTION("IFERROR(INDEX(FILTER(Inversiones!$C$30:$C$149,Inversiones!$B$30:$B$149&lt;&gt;""""),52),"""")"),"")</f>
        <v/>
      </c>
      <c r="F391" s="39" t="str">
        <f t="array" ref="F391">IF(E391="","",INDEX(Inversiones!$K$30:$K$149,MATCH(E391,Inversiones!$C$30:$C$149,0)))</f>
        <v/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ht="24.75" customHeight="1">
      <c r="A392" s="1"/>
      <c r="B392" s="1"/>
      <c r="C392" s="1"/>
      <c r="D392" s="1"/>
      <c r="E392" s="1" t="str">
        <f>IFERROR(__xludf.DUMMYFUNCTION("IFERROR(INDEX(FILTER(Inversiones!$C$30:$C$149,Inversiones!$B$30:$B$149&lt;&gt;""""),53),"""")"),"")</f>
        <v/>
      </c>
      <c r="F392" s="39" t="str">
        <f t="array" ref="F392">IF(E392="","",INDEX(Inversiones!$K$30:$K$149,MATCH(E392,Inversiones!$C$30:$C$149,0)))</f>
        <v/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ht="24.75" customHeight="1">
      <c r="A393" s="1"/>
      <c r="B393" s="1"/>
      <c r="C393" s="1"/>
      <c r="D393" s="1"/>
      <c r="E393" s="1" t="str">
        <f>IFERROR(__xludf.DUMMYFUNCTION("IFERROR(INDEX(FILTER(Inversiones!$C$30:$C$149,Inversiones!$B$30:$B$149&lt;&gt;""""),54),"""")"),"")</f>
        <v/>
      </c>
      <c r="F393" s="39" t="str">
        <f t="array" ref="F393">IF(E393="","",INDEX(Inversiones!$K$30:$K$149,MATCH(E393,Inversiones!$C$30:$C$149,0)))</f>
        <v/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ht="24.75" customHeight="1">
      <c r="A394" s="1"/>
      <c r="B394" s="1"/>
      <c r="C394" s="1"/>
      <c r="D394" s="1"/>
      <c r="E394" s="1" t="str">
        <f>IFERROR(__xludf.DUMMYFUNCTION("IFERROR(INDEX(FILTER(Inversiones!$C$30:$C$149,Inversiones!$B$30:$B$149&lt;&gt;""""),55),"""")"),"")</f>
        <v/>
      </c>
      <c r="F394" s="39" t="str">
        <f t="array" ref="F394">IF(E394="","",INDEX(Inversiones!$K$30:$K$149,MATCH(E394,Inversiones!$C$30:$C$149,0)))</f>
        <v/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ht="24.75" customHeight="1">
      <c r="A395" s="1"/>
      <c r="B395" s="1"/>
      <c r="C395" s="1"/>
      <c r="D395" s="1"/>
      <c r="E395" s="1" t="str">
        <f>IFERROR(__xludf.DUMMYFUNCTION("IFERROR(INDEX(FILTER(Inversiones!$C$30:$C$149,Inversiones!$B$30:$B$149&lt;&gt;""""),56),"""")"),"")</f>
        <v/>
      </c>
      <c r="F395" s="39" t="str">
        <f t="array" ref="F395">IF(E395="","",INDEX(Inversiones!$K$30:$K$149,MATCH(E395,Inversiones!$C$30:$C$149,0)))</f>
        <v/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ht="24.75" customHeight="1">
      <c r="A396" s="1"/>
      <c r="B396" s="1"/>
      <c r="C396" s="1"/>
      <c r="D396" s="1"/>
      <c r="E396" s="1" t="str">
        <f>IFERROR(__xludf.DUMMYFUNCTION("IFERROR(INDEX(FILTER(Inversiones!$C$30:$C$149,Inversiones!$B$30:$B$149&lt;&gt;""""),57),"""")"),"")</f>
        <v/>
      </c>
      <c r="F396" s="39" t="str">
        <f t="array" ref="F396">IF(E396="","",INDEX(Inversiones!$K$30:$K$149,MATCH(E396,Inversiones!$C$30:$C$149,0)))</f>
        <v/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ht="24.75" customHeight="1">
      <c r="A397" s="1"/>
      <c r="B397" s="1"/>
      <c r="C397" s="1"/>
      <c r="D397" s="1"/>
      <c r="E397" s="1" t="str">
        <f>IFERROR(__xludf.DUMMYFUNCTION("IFERROR(INDEX(FILTER(Inversiones!$C$30:$C$149,Inversiones!$B$30:$B$149&lt;&gt;""""),58),"""")"),"")</f>
        <v/>
      </c>
      <c r="F397" s="39" t="str">
        <f t="array" ref="F397">IF(E397="","",INDEX(Inversiones!$K$30:$K$149,MATCH(E397,Inversiones!$C$30:$C$149,0)))</f>
        <v/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ht="24.75" customHeight="1">
      <c r="A398" s="1"/>
      <c r="B398" s="1"/>
      <c r="C398" s="1"/>
      <c r="D398" s="1"/>
      <c r="E398" s="1" t="str">
        <f>IFERROR(__xludf.DUMMYFUNCTION("IFERROR(INDEX(FILTER(Inversiones!$C$30:$C$149,Inversiones!$B$30:$B$149&lt;&gt;""""),59),"""")"),"")</f>
        <v/>
      </c>
      <c r="F398" s="39" t="str">
        <f t="array" ref="F398">IF(E398="","",INDEX(Inversiones!$K$30:$K$149,MATCH(E398,Inversiones!$C$30:$C$149,0)))</f>
        <v/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ht="24.75" customHeight="1">
      <c r="A399" s="1"/>
      <c r="B399" s="1"/>
      <c r="C399" s="1"/>
      <c r="D399" s="1"/>
      <c r="E399" s="1" t="str">
        <f>IFERROR(__xludf.DUMMYFUNCTION("IFERROR(INDEX(FILTER(Inversiones!$C$30:$C$149,Inversiones!$B$30:$B$149&lt;&gt;""""),60),"""")"),"")</f>
        <v/>
      </c>
      <c r="F399" s="39" t="str">
        <f t="array" ref="F399">IF(E399="","",INDEX(Inversiones!$K$30:$K$149,MATCH(E399,Inversiones!$C$30:$C$149,0)))</f>
        <v/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ht="24.75" customHeight="1">
      <c r="A400" s="1"/>
      <c r="B400" s="1"/>
      <c r="C400" s="1"/>
      <c r="D400" s="1"/>
      <c r="E400" s="1" t="str">
        <f>IFERROR(__xludf.DUMMYFUNCTION("IFERROR(INDEX(FILTER(Inversiones!$C$30:$C$149,Inversiones!$B$30:$B$149&lt;&gt;""""),61),"""")"),"")</f>
        <v/>
      </c>
      <c r="F400" s="39" t="str">
        <f t="array" ref="F400">IF(E400="","",INDEX(Inversiones!$K$30:$K$149,MATCH(E400,Inversiones!$C$30:$C$149,0)))</f>
        <v/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ht="24.75" customHeight="1">
      <c r="A401" s="1"/>
      <c r="B401" s="1"/>
      <c r="C401" s="1"/>
      <c r="D401" s="1"/>
      <c r="E401" s="1" t="str">
        <f>IFERROR(__xludf.DUMMYFUNCTION("IFERROR(INDEX(FILTER(Inversiones!$C$30:$C$149,Inversiones!$B$30:$B$149&lt;&gt;""""),62),"""")"),"")</f>
        <v/>
      </c>
      <c r="F401" s="39" t="str">
        <f t="array" ref="F401">IF(E401="","",INDEX(Inversiones!$K$30:$K$149,MATCH(E401,Inversiones!$C$30:$C$149,0)))</f>
        <v/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ht="24.75" customHeight="1">
      <c r="A402" s="1"/>
      <c r="B402" s="1"/>
      <c r="C402" s="1"/>
      <c r="D402" s="1"/>
      <c r="E402" s="1" t="str">
        <f>IFERROR(__xludf.DUMMYFUNCTION("IFERROR(INDEX(FILTER(Inversiones!$C$30:$C$149,Inversiones!$B$30:$B$149&lt;&gt;""""),63),"""")"),"")</f>
        <v/>
      </c>
      <c r="F402" s="39" t="str">
        <f t="array" ref="F402">IF(E402="","",INDEX(Inversiones!$K$30:$K$149,MATCH(E402,Inversiones!$C$30:$C$149,0)))</f>
        <v/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ht="24.75" customHeight="1">
      <c r="A403" s="1"/>
      <c r="B403" s="1"/>
      <c r="C403" s="1"/>
      <c r="D403" s="1"/>
      <c r="E403" s="1" t="str">
        <f>IFERROR(__xludf.DUMMYFUNCTION("IFERROR(INDEX(FILTER(Inversiones!$C$30:$C$149,Inversiones!$B$30:$B$149&lt;&gt;""""),64),"""")"),"")</f>
        <v/>
      </c>
      <c r="F403" s="39" t="str">
        <f t="array" ref="F403">IF(E403="","",INDEX(Inversiones!$K$30:$K$149,MATCH(E403,Inversiones!$C$30:$C$149,0)))</f>
        <v/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ht="24.75" customHeight="1">
      <c r="A404" s="1"/>
      <c r="B404" s="1"/>
      <c r="C404" s="1"/>
      <c r="D404" s="1"/>
      <c r="E404" s="1" t="str">
        <f>IFERROR(__xludf.DUMMYFUNCTION("IFERROR(INDEX(FILTER(Inversiones!$C$30:$C$149,Inversiones!$B$30:$B$149&lt;&gt;""""),65),"""")"),"")</f>
        <v/>
      </c>
      <c r="F404" s="39" t="str">
        <f t="array" ref="F404">IF(E404="","",INDEX(Inversiones!$K$30:$K$149,MATCH(E404,Inversiones!$C$30:$C$149,0)))</f>
        <v/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ht="24.75" customHeight="1">
      <c r="A405" s="1"/>
      <c r="B405" s="1"/>
      <c r="C405" s="1"/>
      <c r="D405" s="1"/>
      <c r="E405" s="1" t="str">
        <f>IFERROR(__xludf.DUMMYFUNCTION("IFERROR(INDEX(FILTER(Inversiones!$C$30:$C$149,Inversiones!$B$30:$B$149&lt;&gt;""""),66),"""")"),"")</f>
        <v/>
      </c>
      <c r="F405" s="39" t="str">
        <f t="array" ref="F405">IF(E405="","",INDEX(Inversiones!$K$30:$K$149,MATCH(E405,Inversiones!$C$30:$C$149,0)))</f>
        <v/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ht="24.75" customHeight="1">
      <c r="A406" s="1"/>
      <c r="B406" s="1"/>
      <c r="C406" s="1"/>
      <c r="D406" s="1"/>
      <c r="E406" s="1" t="str">
        <f>IFERROR(__xludf.DUMMYFUNCTION("IFERROR(INDEX(FILTER(Inversiones!$C$30:$C$149,Inversiones!$B$30:$B$149&lt;&gt;""""),67),"""")"),"")</f>
        <v/>
      </c>
      <c r="F406" s="39" t="str">
        <f t="array" ref="F406">IF(E406="","",INDEX(Inversiones!$K$30:$K$149,MATCH(E406,Inversiones!$C$30:$C$149,0)))</f>
        <v/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ht="24.75" customHeight="1">
      <c r="A407" s="1"/>
      <c r="B407" s="1"/>
      <c r="C407" s="1"/>
      <c r="D407" s="1"/>
      <c r="E407" s="1" t="str">
        <f>IFERROR(__xludf.DUMMYFUNCTION("IFERROR(INDEX(FILTER(Inversiones!$C$30:$C$149,Inversiones!$B$30:$B$149&lt;&gt;""""),68),"""")"),"")</f>
        <v/>
      </c>
      <c r="F407" s="39" t="str">
        <f t="array" ref="F407">IF(E407="","",INDEX(Inversiones!$K$30:$K$149,MATCH(E407,Inversiones!$C$30:$C$149,0)))</f>
        <v/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ht="24.75" customHeight="1">
      <c r="A408" s="1"/>
      <c r="B408" s="1"/>
      <c r="C408" s="1"/>
      <c r="D408" s="1"/>
      <c r="E408" s="1" t="str">
        <f>IFERROR(__xludf.DUMMYFUNCTION("IFERROR(INDEX(FILTER(Inversiones!$C$30:$C$149,Inversiones!$B$30:$B$149&lt;&gt;""""),69),"""")"),"")</f>
        <v/>
      </c>
      <c r="F408" s="39" t="str">
        <f t="array" ref="F408">IF(E408="","",INDEX(Inversiones!$K$30:$K$149,MATCH(E408,Inversiones!$C$30:$C$149,0)))</f>
        <v/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ht="24.75" customHeight="1">
      <c r="A409" s="1"/>
      <c r="B409" s="1"/>
      <c r="C409" s="1"/>
      <c r="D409" s="1"/>
      <c r="E409" s="1" t="str">
        <f>IFERROR(__xludf.DUMMYFUNCTION("IFERROR(INDEX(FILTER(Inversiones!$C$30:$C$149,Inversiones!$B$30:$B$149&lt;&gt;""""),70),"""")"),"")</f>
        <v/>
      </c>
      <c r="F409" s="39" t="str">
        <f t="array" ref="F409">IF(E409="","",INDEX(Inversiones!$K$30:$K$149,MATCH(E409,Inversiones!$C$30:$C$149,0)))</f>
        <v/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ht="24.75" customHeight="1">
      <c r="A410" s="1"/>
      <c r="B410" s="1"/>
      <c r="C410" s="1"/>
      <c r="D410" s="1"/>
      <c r="E410" s="1" t="str">
        <f>IFERROR(__xludf.DUMMYFUNCTION("IFERROR(INDEX(FILTER(Inversiones!$C$30:$C$149,Inversiones!$B$30:$B$149&lt;&gt;""""),71),"""")"),"")</f>
        <v/>
      </c>
      <c r="F410" s="39" t="str">
        <f t="array" ref="F410">IF(E410="","",INDEX(Inversiones!$K$30:$K$149,MATCH(E410,Inversiones!$C$30:$C$149,0)))</f>
        <v/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ht="24.75" customHeight="1">
      <c r="A411" s="1"/>
      <c r="B411" s="1"/>
      <c r="C411" s="1"/>
      <c r="D411" s="1"/>
      <c r="E411" s="1" t="str">
        <f>IFERROR(__xludf.DUMMYFUNCTION("IFERROR(INDEX(FILTER(Inversiones!$C$30:$C$149,Inversiones!$B$30:$B$149&lt;&gt;""""),72),"""")"),"")</f>
        <v/>
      </c>
      <c r="F411" s="39" t="str">
        <f t="array" ref="F411">IF(E411="","",INDEX(Inversiones!$K$30:$K$149,MATCH(E411,Inversiones!$C$30:$C$149,0)))</f>
        <v/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ht="24.75" customHeight="1">
      <c r="A412" s="1"/>
      <c r="B412" s="1"/>
      <c r="C412" s="1"/>
      <c r="D412" s="1"/>
      <c r="E412" s="1" t="str">
        <f>IFERROR(__xludf.DUMMYFUNCTION("IFERROR(INDEX(FILTER(Inversiones!$C$30:$C$149,Inversiones!$B$30:$B$149&lt;&gt;""""),73),"""")"),"")</f>
        <v/>
      </c>
      <c r="F412" s="39" t="str">
        <f t="array" ref="F412">IF(E412="","",INDEX(Inversiones!$K$30:$K$149,MATCH(E412,Inversiones!$C$30:$C$149,0)))</f>
        <v/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ht="24.75" customHeight="1">
      <c r="A413" s="1"/>
      <c r="B413" s="1"/>
      <c r="C413" s="1"/>
      <c r="D413" s="1"/>
      <c r="E413" s="1" t="str">
        <f>IFERROR(__xludf.DUMMYFUNCTION("IFERROR(INDEX(FILTER(Inversiones!$C$30:$C$149,Inversiones!$B$30:$B$149&lt;&gt;""""),74),"""")"),"")</f>
        <v/>
      </c>
      <c r="F413" s="39" t="str">
        <f t="array" ref="F413">IF(E413="","",INDEX(Inversiones!$K$30:$K$149,MATCH(E413,Inversiones!$C$30:$C$149,0)))</f>
        <v/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ht="24.75" customHeight="1">
      <c r="A414" s="1"/>
      <c r="B414" s="1"/>
      <c r="C414" s="1"/>
      <c r="D414" s="1"/>
      <c r="E414" s="1" t="str">
        <f>IFERROR(__xludf.DUMMYFUNCTION("IFERROR(INDEX(FILTER(Inversiones!$C$30:$C$149,Inversiones!$B$30:$B$149&lt;&gt;""""),75),"""")"),"")</f>
        <v/>
      </c>
      <c r="F414" s="39" t="str">
        <f t="array" ref="F414">IF(E414="","",INDEX(Inversiones!$K$30:$K$149,MATCH(E414,Inversiones!$C$30:$C$149,0)))</f>
        <v/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ht="24.75" customHeight="1">
      <c r="A415" s="1"/>
      <c r="B415" s="1"/>
      <c r="C415" s="1"/>
      <c r="D415" s="1"/>
      <c r="E415" s="1" t="str">
        <f>IFERROR(__xludf.DUMMYFUNCTION("IFERROR(INDEX(FILTER(Inversiones!$C$30:$C$149,Inversiones!$B$30:$B$149&lt;&gt;""""),76),"""")"),"")</f>
        <v/>
      </c>
      <c r="F415" s="39" t="str">
        <f t="array" ref="F415">IF(E415="","",INDEX(Inversiones!$K$30:$K$149,MATCH(E415,Inversiones!$C$30:$C$149,0)))</f>
        <v/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ht="24.75" customHeight="1">
      <c r="A416" s="1"/>
      <c r="B416" s="1"/>
      <c r="C416" s="1"/>
      <c r="D416" s="1"/>
      <c r="E416" s="1" t="str">
        <f>IFERROR(__xludf.DUMMYFUNCTION("IFERROR(INDEX(FILTER(Inversiones!$C$30:$C$149,Inversiones!$B$30:$B$149&lt;&gt;""""),77),"""")"),"")</f>
        <v/>
      </c>
      <c r="F416" s="39" t="str">
        <f t="array" ref="F416">IF(E416="","",INDEX(Inversiones!$K$30:$K$149,MATCH(E416,Inversiones!$C$30:$C$149,0)))</f>
        <v/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ht="24.75" customHeight="1">
      <c r="A417" s="1"/>
      <c r="B417" s="1"/>
      <c r="C417" s="1"/>
      <c r="D417" s="1"/>
      <c r="E417" s="1" t="str">
        <f>IFERROR(__xludf.DUMMYFUNCTION("IFERROR(INDEX(FILTER(Inversiones!$C$30:$C$149,Inversiones!$B$30:$B$149&lt;&gt;""""),78),"""")"),"")</f>
        <v/>
      </c>
      <c r="F417" s="39" t="str">
        <f t="array" ref="F417">IF(E417="","",INDEX(Inversiones!$K$30:$K$149,MATCH(E417,Inversiones!$C$30:$C$149,0)))</f>
        <v/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ht="24.75" customHeight="1">
      <c r="A418" s="1"/>
      <c r="B418" s="1"/>
      <c r="C418" s="1"/>
      <c r="D418" s="1"/>
      <c r="E418" s="1" t="str">
        <f>IFERROR(__xludf.DUMMYFUNCTION("IFERROR(INDEX(FILTER(Inversiones!$C$30:$C$149,Inversiones!$B$30:$B$149&lt;&gt;""""),79),"""")"),"")</f>
        <v/>
      </c>
      <c r="F418" s="39" t="str">
        <f t="array" ref="F418">IF(E418="","",INDEX(Inversiones!$K$30:$K$149,MATCH(E418,Inversiones!$C$30:$C$149,0)))</f>
        <v/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ht="24.75" customHeight="1">
      <c r="A419" s="1"/>
      <c r="B419" s="1"/>
      <c r="C419" s="1"/>
      <c r="D419" s="1"/>
      <c r="E419" s="1" t="str">
        <f>IFERROR(__xludf.DUMMYFUNCTION("IFERROR(INDEX(FILTER(Inversiones!$C$30:$C$149,Inversiones!$B$30:$B$149&lt;&gt;""""),80),"""")"),"")</f>
        <v/>
      </c>
      <c r="F419" s="39" t="str">
        <f t="array" ref="F419">IF(E419="","",INDEX(Inversiones!$K$30:$K$149,MATCH(E419,Inversiones!$C$30:$C$149,0)))</f>
        <v/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ht="24.75" customHeight="1">
      <c r="A420" s="1"/>
      <c r="B420" s="1"/>
      <c r="C420" s="1"/>
      <c r="D420" s="1"/>
      <c r="E420" s="1" t="str">
        <f>IFERROR(__xludf.DUMMYFUNCTION("IFERROR(INDEX(FILTER(Inversiones!$C$30:$C$149,Inversiones!$B$30:$B$149&lt;&gt;""""),81),"""")"),"")</f>
        <v/>
      </c>
      <c r="F420" s="39" t="str">
        <f t="array" ref="F420">IF(E420="","",INDEX(Inversiones!$K$30:$K$149,MATCH(E420,Inversiones!$C$30:$C$149,0)))</f>
        <v/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ht="24.75" customHeight="1">
      <c r="A421" s="1"/>
      <c r="B421" s="1"/>
      <c r="C421" s="1"/>
      <c r="D421" s="1"/>
      <c r="E421" s="1" t="str">
        <f>IFERROR(__xludf.DUMMYFUNCTION("IFERROR(INDEX(FILTER(Inversiones!$C$30:$C$149,Inversiones!$B$30:$B$149&lt;&gt;""""),82),"""")"),"")</f>
        <v/>
      </c>
      <c r="F421" s="39" t="str">
        <f t="array" ref="F421">IF(E421="","",INDEX(Inversiones!$K$30:$K$149,MATCH(E421,Inversiones!$C$30:$C$149,0)))</f>
        <v/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ht="24.75" customHeight="1">
      <c r="A422" s="1"/>
      <c r="B422" s="1"/>
      <c r="C422" s="1"/>
      <c r="D422" s="1"/>
      <c r="E422" s="1" t="str">
        <f>IFERROR(__xludf.DUMMYFUNCTION("IFERROR(INDEX(FILTER(Inversiones!$C$30:$C$149,Inversiones!$B$30:$B$149&lt;&gt;""""),83),"""")"),"")</f>
        <v/>
      </c>
      <c r="F422" s="39" t="str">
        <f t="array" ref="F422">IF(E422="","",INDEX(Inversiones!$K$30:$K$149,MATCH(E422,Inversiones!$C$30:$C$149,0)))</f>
        <v/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ht="24.75" customHeight="1">
      <c r="A423" s="1"/>
      <c r="B423" s="1"/>
      <c r="C423" s="1"/>
      <c r="D423" s="1"/>
      <c r="E423" s="1" t="str">
        <f>IFERROR(__xludf.DUMMYFUNCTION("IFERROR(INDEX(FILTER(Inversiones!$C$30:$C$149,Inversiones!$B$30:$B$149&lt;&gt;""""),84),"""")"),"")</f>
        <v/>
      </c>
      <c r="F423" s="39" t="str">
        <f t="array" ref="F423">IF(E423="","",INDEX(Inversiones!$K$30:$K$149,MATCH(E423,Inversiones!$C$30:$C$149,0)))</f>
        <v/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ht="24.75" customHeight="1">
      <c r="A424" s="1"/>
      <c r="B424" s="1"/>
      <c r="C424" s="1"/>
      <c r="D424" s="1"/>
      <c r="E424" s="1" t="str">
        <f>IFERROR(__xludf.DUMMYFUNCTION("IFERROR(INDEX(FILTER(Inversiones!$C$30:$C$149,Inversiones!$B$30:$B$149&lt;&gt;""""),85),"""")"),"")</f>
        <v/>
      </c>
      <c r="F424" s="39" t="str">
        <f t="array" ref="F424">IF(E424="","",INDEX(Inversiones!$K$30:$K$149,MATCH(E424,Inversiones!$C$30:$C$149,0)))</f>
        <v/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ht="24.75" customHeight="1">
      <c r="A425" s="1"/>
      <c r="B425" s="1"/>
      <c r="C425" s="1"/>
      <c r="D425" s="1"/>
      <c r="E425" s="1" t="str">
        <f>IFERROR(__xludf.DUMMYFUNCTION("IFERROR(INDEX(FILTER(Inversiones!$C$30:$C$149,Inversiones!$B$30:$B$149&lt;&gt;""""),86),"""")"),"")</f>
        <v/>
      </c>
      <c r="F425" s="39" t="str">
        <f t="array" ref="F425">IF(E425="","",INDEX(Inversiones!$K$30:$K$149,MATCH(E425,Inversiones!$C$30:$C$149,0)))</f>
        <v/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ht="24.75" customHeight="1">
      <c r="A426" s="1"/>
      <c r="B426" s="1"/>
      <c r="C426" s="1"/>
      <c r="D426" s="1"/>
      <c r="E426" s="1" t="str">
        <f>IFERROR(__xludf.DUMMYFUNCTION("IFERROR(INDEX(FILTER(Inversiones!$C$30:$C$149,Inversiones!$B$30:$B$149&lt;&gt;""""),87),"""")"),"")</f>
        <v/>
      </c>
      <c r="F426" s="39" t="str">
        <f t="array" ref="F426">IF(E426="","",INDEX(Inversiones!$K$30:$K$149,MATCH(E426,Inversiones!$C$30:$C$149,0)))</f>
        <v/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ht="24.75" customHeight="1">
      <c r="A427" s="1"/>
      <c r="B427" s="1"/>
      <c r="C427" s="1"/>
      <c r="D427" s="1"/>
      <c r="E427" s="1" t="str">
        <f>IFERROR(__xludf.DUMMYFUNCTION("IFERROR(INDEX(FILTER(Inversiones!$C$30:$C$149,Inversiones!$B$30:$B$149&lt;&gt;""""),88),"""")"),"")</f>
        <v/>
      </c>
      <c r="F427" s="39" t="str">
        <f t="array" ref="F427">IF(E427="","",INDEX(Inversiones!$K$30:$K$149,MATCH(E427,Inversiones!$C$30:$C$149,0)))</f>
        <v/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ht="24.75" customHeight="1">
      <c r="A428" s="1"/>
      <c r="B428" s="1"/>
      <c r="C428" s="1"/>
      <c r="D428" s="1"/>
      <c r="E428" s="1" t="str">
        <f>IFERROR(__xludf.DUMMYFUNCTION("IFERROR(INDEX(FILTER(Inversiones!$C$30:$C$149,Inversiones!$B$30:$B$149&lt;&gt;""""),89),"""")"),"")</f>
        <v/>
      </c>
      <c r="F428" s="39" t="str">
        <f t="array" ref="F428">IF(E428="","",INDEX(Inversiones!$K$30:$K$149,MATCH(E428,Inversiones!$C$30:$C$149,0)))</f>
        <v/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ht="24.75" customHeight="1">
      <c r="A429" s="1"/>
      <c r="B429" s="1"/>
      <c r="C429" s="1"/>
      <c r="D429" s="1"/>
      <c r="E429" s="1" t="str">
        <f>IFERROR(__xludf.DUMMYFUNCTION("IFERROR(INDEX(FILTER(Inversiones!$C$30:$C$149,Inversiones!$B$30:$B$149&lt;&gt;""""),90),"""")"),"")</f>
        <v/>
      </c>
      <c r="F429" s="39" t="str">
        <f t="array" ref="F429">IF(E429="","",INDEX(Inversiones!$K$30:$K$149,MATCH(E429,Inversiones!$C$30:$C$149,0)))</f>
        <v/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ht="24.75" customHeight="1">
      <c r="A430" s="1"/>
      <c r="B430" s="1"/>
      <c r="C430" s="1"/>
      <c r="D430" s="1"/>
      <c r="E430" s="1" t="str">
        <f>IFERROR(__xludf.DUMMYFUNCTION("IFERROR(INDEX(FILTER(Inversiones!$C$30:$C$149,Inversiones!$B$30:$B$149&lt;&gt;""""),91),"""")"),"")</f>
        <v/>
      </c>
      <c r="F430" s="39" t="str">
        <f t="array" ref="F430">IF(E430="","",INDEX(Inversiones!$K$30:$K$149,MATCH(E430,Inversiones!$C$30:$C$149,0)))</f>
        <v/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ht="24.75" customHeight="1">
      <c r="A431" s="1"/>
      <c r="B431" s="1"/>
      <c r="C431" s="1"/>
      <c r="D431" s="1"/>
      <c r="E431" s="1" t="str">
        <f>IFERROR(__xludf.DUMMYFUNCTION("IFERROR(INDEX(FILTER(Inversiones!$C$30:$C$149,Inversiones!$B$30:$B$149&lt;&gt;""""),92),"""")"),"")</f>
        <v/>
      </c>
      <c r="F431" s="39" t="str">
        <f t="array" ref="F431">IF(E431="","",INDEX(Inversiones!$K$30:$K$149,MATCH(E431,Inversiones!$C$30:$C$149,0)))</f>
        <v/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ht="24.75" customHeight="1">
      <c r="A432" s="1"/>
      <c r="B432" s="1"/>
      <c r="C432" s="1"/>
      <c r="D432" s="1"/>
      <c r="E432" s="1" t="str">
        <f>IFERROR(__xludf.DUMMYFUNCTION("IFERROR(INDEX(FILTER(Inversiones!$C$30:$C$149,Inversiones!$B$30:$B$149&lt;&gt;""""),93),"""")"),"")</f>
        <v/>
      </c>
      <c r="F432" s="39" t="str">
        <f t="array" ref="F432">IF(E432="","",INDEX(Inversiones!$K$30:$K$149,MATCH(E432,Inversiones!$C$30:$C$149,0)))</f>
        <v/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ht="24.75" customHeight="1">
      <c r="A433" s="1"/>
      <c r="B433" s="1"/>
      <c r="C433" s="1"/>
      <c r="D433" s="1"/>
      <c r="E433" s="1" t="str">
        <f>IFERROR(__xludf.DUMMYFUNCTION("IFERROR(INDEX(FILTER(Inversiones!$C$30:$C$149,Inversiones!$B$30:$B$149&lt;&gt;""""),94),"""")"),"")</f>
        <v/>
      </c>
      <c r="F433" s="39" t="str">
        <f t="array" ref="F433">IF(E433="","",INDEX(Inversiones!$K$30:$K$149,MATCH(E433,Inversiones!$C$30:$C$149,0)))</f>
        <v/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ht="24.75" customHeight="1">
      <c r="A434" s="1"/>
      <c r="B434" s="1"/>
      <c r="C434" s="1"/>
      <c r="D434" s="1"/>
      <c r="E434" s="1" t="str">
        <f>IFERROR(__xludf.DUMMYFUNCTION("IFERROR(INDEX(FILTER(Inversiones!$C$30:$C$149,Inversiones!$B$30:$B$149&lt;&gt;""""),95),"""")"),"")</f>
        <v/>
      </c>
      <c r="F434" s="39" t="str">
        <f t="array" ref="F434">IF(E434="","",INDEX(Inversiones!$K$30:$K$149,MATCH(E434,Inversiones!$C$30:$C$149,0)))</f>
        <v/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ht="24.75" customHeight="1">
      <c r="A435" s="1"/>
      <c r="B435" s="1"/>
      <c r="C435" s="1"/>
      <c r="D435" s="1"/>
      <c r="E435" s="1" t="str">
        <f>IFERROR(__xludf.DUMMYFUNCTION("IFERROR(INDEX(FILTER(Inversiones!$C$30:$C$149,Inversiones!$B$30:$B$149&lt;&gt;""""),96),"""")"),"")</f>
        <v/>
      </c>
      <c r="F435" s="39" t="str">
        <f t="array" ref="F435">IF(E435="","",INDEX(Inversiones!$K$30:$K$149,MATCH(E435,Inversiones!$C$30:$C$149,0)))</f>
        <v/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ht="24.75" customHeight="1">
      <c r="A436" s="1"/>
      <c r="B436" s="1"/>
      <c r="C436" s="1"/>
      <c r="D436" s="1"/>
      <c r="E436" s="1" t="str">
        <f>IFERROR(__xludf.DUMMYFUNCTION("IFERROR(INDEX(FILTER(Inversiones!$C$30:$C$149,Inversiones!$B$30:$B$149&lt;&gt;""""),97),"""")"),"")</f>
        <v/>
      </c>
      <c r="F436" s="39" t="str">
        <f t="array" ref="F436">IF(E436="","",INDEX(Inversiones!$K$30:$K$149,MATCH(E436,Inversiones!$C$30:$C$149,0)))</f>
        <v/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ht="24.75" customHeight="1">
      <c r="A437" s="1"/>
      <c r="B437" s="1"/>
      <c r="C437" s="1"/>
      <c r="D437" s="1"/>
      <c r="E437" s="1" t="str">
        <f>IFERROR(__xludf.DUMMYFUNCTION("IFERROR(INDEX(FILTER(Inversiones!$C$30:$C$149,Inversiones!$B$30:$B$149&lt;&gt;""""),98),"""")"),"")</f>
        <v/>
      </c>
      <c r="F437" s="39" t="str">
        <f t="array" ref="F437">IF(E437="","",INDEX(Inversiones!$K$30:$K$149,MATCH(E437,Inversiones!$C$30:$C$149,0)))</f>
        <v/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ht="24.75" customHeight="1">
      <c r="A438" s="1"/>
      <c r="B438" s="1"/>
      <c r="C438" s="1"/>
      <c r="D438" s="1"/>
      <c r="E438" s="1" t="str">
        <f>IFERROR(__xludf.DUMMYFUNCTION("IFERROR(INDEX(FILTER(Inversiones!$C$30:$C$149,Inversiones!$B$30:$B$149&lt;&gt;""""),99),"""")"),"")</f>
        <v/>
      </c>
      <c r="F438" s="39" t="str">
        <f t="array" ref="F438">IF(E438="","",INDEX(Inversiones!$K$30:$K$149,MATCH(E438,Inversiones!$C$30:$C$149,0)))</f>
        <v/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ht="24.75" customHeight="1">
      <c r="A439" s="1"/>
      <c r="B439" s="1"/>
      <c r="C439" s="1"/>
      <c r="D439" s="1"/>
      <c r="E439" s="1" t="str">
        <f>IFERROR(__xludf.DUMMYFUNCTION("IFERROR(INDEX(FILTER(Inversiones!$C$30:$C$149,Inversiones!$B$30:$B$149&lt;&gt;""""),100),"""")"),"")</f>
        <v/>
      </c>
      <c r="F439" s="39" t="str">
        <f t="array" ref="F439">IF(E439="","",INDEX(Inversiones!$K$30:$K$149,MATCH(E439,Inversiones!$C$30:$C$149,0)))</f>
        <v/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ht="24.75" customHeight="1">
      <c r="A440" s="1"/>
      <c r="B440" s="1"/>
      <c r="C440" s="1"/>
      <c r="D440" s="1"/>
      <c r="E440" s="1" t="str">
        <f>IFERROR(__xludf.DUMMYFUNCTION("IFERROR(INDEX(FILTER(Inversiones!$C$30:$C$149,Inversiones!$B$30:$B$149&lt;&gt;""""),101),"""")"),"")</f>
        <v/>
      </c>
      <c r="F440" s="39" t="str">
        <f t="array" ref="F440">IF(E440="","",INDEX(Inversiones!$K$30:$K$149,MATCH(E440,Inversiones!$C$30:$C$149,0)))</f>
        <v/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ht="24.75" customHeight="1">
      <c r="A441" s="1"/>
      <c r="B441" s="1"/>
      <c r="C441" s="1"/>
      <c r="D441" s="1"/>
      <c r="E441" s="1" t="str">
        <f>IFERROR(__xludf.DUMMYFUNCTION("IFERROR(INDEX(FILTER(Inversiones!$C$30:$C$149,Inversiones!$B$30:$B$149&lt;&gt;""""),102),"""")"),"")</f>
        <v/>
      </c>
      <c r="F441" s="39" t="str">
        <f t="array" ref="F441">IF(E441="","",INDEX(Inversiones!$K$30:$K$149,MATCH(E441,Inversiones!$C$30:$C$149,0)))</f>
        <v/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ht="24.75" customHeight="1">
      <c r="A442" s="1"/>
      <c r="B442" s="1"/>
      <c r="C442" s="1"/>
      <c r="D442" s="1"/>
      <c r="E442" s="1" t="str">
        <f>IFERROR(__xludf.DUMMYFUNCTION("IFERROR(INDEX(FILTER(Inversiones!$C$30:$C$149,Inversiones!$B$30:$B$149&lt;&gt;""""),103),"""")"),"")</f>
        <v/>
      </c>
      <c r="F442" s="39" t="str">
        <f t="array" ref="F442">IF(E442="","",INDEX(Inversiones!$K$30:$K$149,MATCH(E442,Inversiones!$C$30:$C$149,0)))</f>
        <v/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ht="24.75" customHeight="1">
      <c r="A443" s="1"/>
      <c r="B443" s="1"/>
      <c r="C443" s="1"/>
      <c r="D443" s="1"/>
      <c r="E443" s="1" t="str">
        <f>IFERROR(__xludf.DUMMYFUNCTION("IFERROR(INDEX(FILTER(Inversiones!$C$30:$C$149,Inversiones!$B$30:$B$149&lt;&gt;""""),104),"""")"),"")</f>
        <v/>
      </c>
      <c r="F443" s="39" t="str">
        <f t="array" ref="F443">IF(E443="","",INDEX(Inversiones!$K$30:$K$149,MATCH(E443,Inversiones!$C$30:$C$149,0)))</f>
        <v/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ht="24.75" customHeight="1">
      <c r="A444" s="1"/>
      <c r="B444" s="1"/>
      <c r="C444" s="1"/>
      <c r="D444" s="1"/>
      <c r="E444" s="1" t="str">
        <f>IFERROR(__xludf.DUMMYFUNCTION("IFERROR(INDEX(FILTER(Inversiones!$C$30:$C$149,Inversiones!$B$30:$B$149&lt;&gt;""""),105),"""")"),"")</f>
        <v/>
      </c>
      <c r="F444" s="39" t="str">
        <f t="array" ref="F444">IF(E444="","",INDEX(Inversiones!$K$30:$K$149,MATCH(E444,Inversiones!$C$30:$C$149,0)))</f>
        <v/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ht="24.75" customHeight="1">
      <c r="A445" s="1"/>
      <c r="B445" s="1"/>
      <c r="C445" s="1"/>
      <c r="D445" s="1"/>
      <c r="E445" s="1" t="str">
        <f>IFERROR(__xludf.DUMMYFUNCTION("IFERROR(INDEX(FILTER(Inversiones!$C$30:$C$149,Inversiones!$B$30:$B$149&lt;&gt;""""),106),"""")"),"")</f>
        <v/>
      </c>
      <c r="F445" s="39" t="str">
        <f t="array" ref="F445">IF(E445="","",INDEX(Inversiones!$K$30:$K$149,MATCH(E445,Inversiones!$C$30:$C$149,0)))</f>
        <v/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ht="24.75" customHeight="1">
      <c r="A446" s="1"/>
      <c r="B446" s="1"/>
      <c r="C446" s="1"/>
      <c r="D446" s="1"/>
      <c r="E446" s="1" t="str">
        <f>IFERROR(__xludf.DUMMYFUNCTION("IFERROR(INDEX(FILTER(Inversiones!$C$30:$C$149,Inversiones!$B$30:$B$149&lt;&gt;""""),107),"""")"),"")</f>
        <v/>
      </c>
      <c r="F446" s="39" t="str">
        <f t="array" ref="F446">IF(E446="","",INDEX(Inversiones!$K$30:$K$149,MATCH(E446,Inversiones!$C$30:$C$149,0)))</f>
        <v/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ht="24.75" customHeight="1">
      <c r="A447" s="1"/>
      <c r="B447" s="1"/>
      <c r="C447" s="1"/>
      <c r="D447" s="1"/>
      <c r="E447" s="1" t="str">
        <f>IFERROR(__xludf.DUMMYFUNCTION("IFERROR(INDEX(FILTER(Inversiones!$C$30:$C$149,Inversiones!$B$30:$B$149&lt;&gt;""""),108),"""")"),"")</f>
        <v/>
      </c>
      <c r="F447" s="39" t="str">
        <f t="array" ref="F447">IF(E447="","",INDEX(Inversiones!$K$30:$K$149,MATCH(E447,Inversiones!$C$30:$C$149,0)))</f>
        <v/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ht="24.75" customHeight="1">
      <c r="A448" s="1"/>
      <c r="B448" s="1"/>
      <c r="C448" s="1"/>
      <c r="D448" s="1"/>
      <c r="E448" s="1" t="str">
        <f>IFERROR(__xludf.DUMMYFUNCTION("IFERROR(INDEX(FILTER(Inversiones!$C$30:$C$149,Inversiones!$B$30:$B$149&lt;&gt;""""),109),"""")"),"")</f>
        <v/>
      </c>
      <c r="F448" s="39" t="str">
        <f t="array" ref="F448">IF(E448="","",INDEX(Inversiones!$K$30:$K$149,MATCH(E448,Inversiones!$C$30:$C$149,0)))</f>
        <v/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ht="24.75" customHeight="1">
      <c r="A449" s="1"/>
      <c r="B449" s="1"/>
      <c r="C449" s="1"/>
      <c r="D449" s="1"/>
      <c r="E449" s="1" t="str">
        <f>IFERROR(__xludf.DUMMYFUNCTION("IFERROR(INDEX(FILTER(Inversiones!$C$30:$C$149,Inversiones!$B$30:$B$149&lt;&gt;""""),110),"""")"),"")</f>
        <v/>
      </c>
      <c r="F449" s="39" t="str">
        <f t="array" ref="F449">IF(E449="","",INDEX(Inversiones!$K$30:$K$149,MATCH(E449,Inversiones!$C$30:$C$149,0)))</f>
        <v/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ht="24.75" customHeight="1">
      <c r="A450" s="1"/>
      <c r="B450" s="1"/>
      <c r="C450" s="1"/>
      <c r="D450" s="1"/>
      <c r="E450" s="1" t="str">
        <f>IFERROR(__xludf.DUMMYFUNCTION("IFERROR(INDEX(FILTER(Inversiones!$C$30:$C$149,Inversiones!$B$30:$B$149&lt;&gt;""""),111),"""")"),"")</f>
        <v/>
      </c>
      <c r="F450" s="39" t="str">
        <f t="array" ref="F450">IF(E450="","",INDEX(Inversiones!$K$30:$K$149,MATCH(E450,Inversiones!$C$30:$C$149,0)))</f>
        <v/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ht="24.75" customHeight="1">
      <c r="A451" s="1"/>
      <c r="B451" s="1"/>
      <c r="C451" s="1"/>
      <c r="D451" s="1"/>
      <c r="E451" s="1" t="str">
        <f>IFERROR(__xludf.DUMMYFUNCTION("IFERROR(INDEX(FILTER(Inversiones!$C$30:$C$149,Inversiones!$B$30:$B$149&lt;&gt;""""),112),"""")"),"")</f>
        <v/>
      </c>
      <c r="F451" s="39" t="str">
        <f t="array" ref="F451">IF(E451="","",INDEX(Inversiones!$K$30:$K$149,MATCH(E451,Inversiones!$C$30:$C$149,0)))</f>
        <v/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ht="24.75" customHeight="1">
      <c r="A452" s="1"/>
      <c r="B452" s="1"/>
      <c r="C452" s="1"/>
      <c r="D452" s="1"/>
      <c r="E452" s="1" t="str">
        <f>IFERROR(__xludf.DUMMYFUNCTION("IFERROR(INDEX(FILTER(Inversiones!$C$30:$C$149,Inversiones!$B$30:$B$149&lt;&gt;""""),113),"""")"),"")</f>
        <v/>
      </c>
      <c r="F452" s="39" t="str">
        <f t="array" ref="F452">IF(E452="","",INDEX(Inversiones!$K$30:$K$149,MATCH(E452,Inversiones!$C$30:$C$149,0)))</f>
        <v/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ht="24.75" customHeight="1">
      <c r="A453" s="1"/>
      <c r="B453" s="1"/>
      <c r="C453" s="1"/>
      <c r="D453" s="1"/>
      <c r="E453" s="1" t="str">
        <f>IFERROR(__xludf.DUMMYFUNCTION("IFERROR(INDEX(FILTER(Inversiones!$C$30:$C$149,Inversiones!$B$30:$B$149&lt;&gt;""""),114),"""")"),"")</f>
        <v/>
      </c>
      <c r="F453" s="39" t="str">
        <f t="array" ref="F453">IF(E453="","",INDEX(Inversiones!$K$30:$K$149,MATCH(E453,Inversiones!$C$30:$C$149,0)))</f>
        <v/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ht="24.75" customHeight="1">
      <c r="A454" s="1"/>
      <c r="B454" s="1"/>
      <c r="C454" s="1"/>
      <c r="D454" s="1"/>
      <c r="E454" s="1" t="str">
        <f>IFERROR(__xludf.DUMMYFUNCTION("IFERROR(INDEX(FILTER(Inversiones!$C$30:$C$149,Inversiones!$B$30:$B$149&lt;&gt;""""),115),"""")"),"")</f>
        <v/>
      </c>
      <c r="F454" s="39" t="str">
        <f t="array" ref="F454">IF(E454="","",INDEX(Inversiones!$K$30:$K$149,MATCH(E454,Inversiones!$C$30:$C$149,0)))</f>
        <v/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ht="24.75" customHeight="1">
      <c r="A455" s="1"/>
      <c r="B455" s="1"/>
      <c r="C455" s="1"/>
      <c r="D455" s="1"/>
      <c r="E455" s="1" t="str">
        <f>IFERROR(__xludf.DUMMYFUNCTION("IFERROR(INDEX(FILTER(Inversiones!$C$30:$C$149,Inversiones!$B$30:$B$149&lt;&gt;""""),116),"""")"),"")</f>
        <v/>
      </c>
      <c r="F455" s="39" t="str">
        <f t="array" ref="F455">IF(E455="","",INDEX(Inversiones!$K$30:$K$149,MATCH(E455,Inversiones!$C$30:$C$149,0)))</f>
        <v/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ht="24.75" customHeight="1">
      <c r="A456" s="1"/>
      <c r="B456" s="1"/>
      <c r="C456" s="1"/>
      <c r="D456" s="1"/>
      <c r="E456" s="1" t="str">
        <f>IFERROR(__xludf.DUMMYFUNCTION("IFERROR(INDEX(FILTER(Inversiones!$C$30:$C$149,Inversiones!$B$30:$B$149&lt;&gt;""""),117),"""")"),"")</f>
        <v/>
      </c>
      <c r="F456" s="39" t="str">
        <f t="array" ref="F456">IF(E456="","",INDEX(Inversiones!$K$30:$K$149,MATCH(E456,Inversiones!$C$30:$C$149,0)))</f>
        <v/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ht="24.75" customHeight="1">
      <c r="A457" s="1"/>
      <c r="B457" s="1"/>
      <c r="C457" s="1"/>
      <c r="D457" s="1"/>
      <c r="E457" s="1" t="str">
        <f>IFERROR(__xludf.DUMMYFUNCTION("IFERROR(INDEX(FILTER(Inversiones!$C$30:$C$149,Inversiones!$B$30:$B$149&lt;&gt;""""),118),"""")"),"")</f>
        <v/>
      </c>
      <c r="F457" s="39" t="str">
        <f t="array" ref="F457">IF(E457="","",INDEX(Inversiones!$K$30:$K$149,MATCH(E457,Inversiones!$C$30:$C$149,0)))</f>
        <v/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ht="24.75" customHeight="1">
      <c r="A458" s="1"/>
      <c r="B458" s="1"/>
      <c r="C458" s="1"/>
      <c r="D458" s="1"/>
      <c r="E458" s="1" t="str">
        <f>IFERROR(__xludf.DUMMYFUNCTION("IFERROR(INDEX(FILTER(Inversiones!$C$30:$C$149,Inversiones!$B$30:$B$149&lt;&gt;""""),119),"""")"),"")</f>
        <v/>
      </c>
      <c r="F458" s="39" t="str">
        <f t="array" ref="F458">IF(E458="","",INDEX(Inversiones!$K$30:$K$149,MATCH(E458,Inversiones!$C$30:$C$149,0)))</f>
        <v/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ht="24.75" customHeight="1">
      <c r="A459" s="1"/>
      <c r="B459" s="1" t="s">
        <v>117</v>
      </c>
      <c r="C459" s="1">
        <f>IF(COUNT($D$5)=0,"",SUMIFS(tProductos[Valor],tProductos[Clase],B459))</f>
        <v>0</v>
      </c>
      <c r="D459" s="1"/>
      <c r="E459" s="1" t="str">
        <f>IFERROR(__xludf.DUMMYFUNCTION("IFERROR(INDEX(FILTER(Inversiones!$C$30:$C$149,Inversiones!$B$30:$B$149&lt;&gt;""""),120),"""")"),"")</f>
        <v/>
      </c>
      <c r="F459" s="39" t="str">
        <f t="array" ref="F459">IF(E459="","",INDEX(Inversiones!$K$30:$K$149,MATCH(E459,Inversiones!$C$30:$C$149,0)))</f>
        <v/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ht="24.75" customHeight="1">
      <c r="A460" s="1"/>
      <c r="B460" s="1" t="s">
        <v>118</v>
      </c>
      <c r="C460" s="1">
        <f>IF(COUNT($D$5)=0,"",SUMIFS(tProductos[Valor],tProductos[Clase],B460))</f>
        <v>0</v>
      </c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ht="24.75" customHeight="1">
      <c r="A461" s="1"/>
      <c r="B461" s="1" t="s">
        <v>119</v>
      </c>
      <c r="C461" s="1">
        <f>IF(COUNT($D$5)=0,"",SUMIFS(tProductos[Valor],tProductos[Clase],B461))</f>
        <v>0</v>
      </c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ht="24.75" customHeight="1">
      <c r="A462" s="1"/>
      <c r="B462" s="1" t="s">
        <v>126</v>
      </c>
      <c r="C462" s="1">
        <f>IF(COUNT($D$5)=0,"",SUMIFS(tProductos[Valor],tProductos[Clase],B462))</f>
        <v>0</v>
      </c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ht="24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ht="24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ht="24.75" customHeight="1">
      <c r="A465" s="1"/>
      <c r="B465" s="1" t="s">
        <v>41</v>
      </c>
      <c r="C465" s="1" t="s">
        <v>177</v>
      </c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ht="24.75" customHeight="1">
      <c r="A466" s="1"/>
      <c r="B466" s="1" t="s">
        <v>178</v>
      </c>
      <c r="C466" s="1">
        <f>SUMIFS(tNominas[Neto],tNominas[Fecha cobro],"&gt;="&amp;DATE(YEAR('Configuración'!$C$7),1,1),tNominas[Fecha cobro],"&lt;"&amp;DATE(YEAR('Configuración'!$C$7),2,1))</f>
        <v>0</v>
      </c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ht="24.75" customHeight="1">
      <c r="A467" s="1"/>
      <c r="B467" s="1" t="s">
        <v>179</v>
      </c>
      <c r="C467" s="1">
        <f>SUMIFS(tNominas[Neto],tNominas[Fecha cobro],"&gt;="&amp;DATE(YEAR('Configuración'!$C$7),2,1),tNominas[Fecha cobro],"&lt;"&amp;DATE(YEAR('Configuración'!$C$7),3,1))</f>
        <v>0</v>
      </c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ht="24.75" customHeight="1">
      <c r="A468" s="1"/>
      <c r="B468" s="1" t="s">
        <v>180</v>
      </c>
      <c r="C468" s="1">
        <f>SUMIFS(tNominas[Neto],tNominas[Fecha cobro],"&gt;="&amp;DATE(YEAR('Configuración'!$C$7),3,1),tNominas[Fecha cobro],"&lt;"&amp;DATE(YEAR('Configuración'!$C$7),4,1))</f>
        <v>0</v>
      </c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ht="24.75" customHeight="1">
      <c r="A469" s="1"/>
      <c r="B469" s="1" t="s">
        <v>181</v>
      </c>
      <c r="C469" s="1">
        <f>SUMIFS(tNominas[Neto],tNominas[Fecha cobro],"&gt;="&amp;DATE(YEAR('Configuración'!$C$7),4,1),tNominas[Fecha cobro],"&lt;"&amp;DATE(YEAR('Configuración'!$C$7),5,1))</f>
        <v>0</v>
      </c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ht="24.75" customHeight="1">
      <c r="A470" s="1"/>
      <c r="B470" s="1" t="s">
        <v>182</v>
      </c>
      <c r="C470" s="1">
        <f>SUMIFS(tNominas[Neto],tNominas[Fecha cobro],"&gt;="&amp;DATE(YEAR('Configuración'!$C$7),5,1),tNominas[Fecha cobro],"&lt;"&amp;DATE(YEAR('Configuración'!$C$7),6,1))</f>
        <v>0</v>
      </c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ht="24.75" customHeight="1">
      <c r="A471" s="1"/>
      <c r="B471" s="1" t="s">
        <v>183</v>
      </c>
      <c r="C471" s="1">
        <f>SUMIFS(tNominas[Neto],tNominas[Fecha cobro],"&gt;="&amp;DATE(YEAR('Configuración'!$C$7),6,1),tNominas[Fecha cobro],"&lt;"&amp;DATE(YEAR('Configuración'!$C$7),7,1))</f>
        <v>0</v>
      </c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ht="24.75" customHeight="1">
      <c r="A472" s="1"/>
      <c r="B472" s="1" t="s">
        <v>184</v>
      </c>
      <c r="C472" s="1">
        <f>SUMIFS(tNominas[Neto],tNominas[Fecha cobro],"&gt;="&amp;DATE(YEAR('Configuración'!$C$7),7,1),tNominas[Fecha cobro],"&lt;"&amp;DATE(YEAR('Configuración'!$C$7),8,1))</f>
        <v>0</v>
      </c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ht="24.75" customHeight="1">
      <c r="A473" s="1"/>
      <c r="B473" s="1" t="s">
        <v>185</v>
      </c>
      <c r="C473" s="1">
        <f>SUMIFS(tNominas[Neto],tNominas[Fecha cobro],"&gt;="&amp;DATE(YEAR('Configuración'!$C$7),8,1),tNominas[Fecha cobro],"&lt;"&amp;DATE(YEAR('Configuración'!$C$7),9,1))</f>
        <v>0</v>
      </c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ht="24.75" customHeight="1">
      <c r="A474" s="1"/>
      <c r="B474" s="1" t="s">
        <v>186</v>
      </c>
      <c r="C474" s="1">
        <f>SUMIFS(tNominas[Neto],tNominas[Fecha cobro],"&gt;="&amp;DATE(YEAR('Configuración'!$C$7),9,1),tNominas[Fecha cobro],"&lt;"&amp;DATE(YEAR('Configuración'!$C$7),10,1))</f>
        <v>0</v>
      </c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ht="24.75" customHeight="1">
      <c r="A475" s="1"/>
      <c r="B475" s="1" t="s">
        <v>187</v>
      </c>
      <c r="C475" s="1">
        <f>SUMIFS(tNominas[Neto],tNominas[Fecha cobro],"&gt;="&amp;DATE(YEAR('Configuración'!$C$7),10,1),tNominas[Fecha cobro],"&lt;"&amp;DATE(YEAR('Configuración'!$C$7),11,1))</f>
        <v>0</v>
      </c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ht="24.75" customHeight="1">
      <c r="A476" s="1"/>
      <c r="B476" s="1" t="s">
        <v>188</v>
      </c>
      <c r="C476" s="1">
        <f>SUMIFS(tNominas[Neto],tNominas[Fecha cobro],"&gt;="&amp;DATE(YEAR('Configuración'!$C$7),11,1),tNominas[Fecha cobro],"&lt;"&amp;DATE(YEAR('Configuración'!$C$7),12,1))</f>
        <v>0</v>
      </c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ht="24.75" customHeight="1">
      <c r="A477" s="1"/>
      <c r="B477" s="1" t="s">
        <v>189</v>
      </c>
      <c r="C477" s="1">
        <f>SUMIFS(tNominas[Neto],tNominas[Fecha cobro],"&gt;="&amp;DATE(YEAR('Configuración'!$C$7),12,1),tNominas[Fecha cobro],"&lt;"&amp;DATE(YEAR('Configuración'!$C$7),13,1))</f>
        <v>0</v>
      </c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ht="24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ht="24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ht="24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ht="24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ht="24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ht="24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ht="24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ht="24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ht="24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ht="24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ht="24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ht="24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ht="24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ht="24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ht="24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ht="24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ht="24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ht="24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ht="24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ht="24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ht="24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ht="24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ht="24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ht="24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ht="24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ht="24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ht="24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ht="24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</sheetData>
  <mergeCells count="1">
    <mergeCell ref="B2:R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0" t="s">
        <v>130</v>
      </c>
      <c r="B1" s="60" t="s">
        <v>131</v>
      </c>
      <c r="C1" s="60" t="s">
        <v>132</v>
      </c>
      <c r="D1" s="60" t="s">
        <v>38</v>
      </c>
    </row>
    <row r="2">
      <c r="A2" s="60"/>
      <c r="B2" s="60"/>
      <c r="C2" s="60"/>
      <c r="D2" s="60"/>
    </row>
    <row r="3">
      <c r="A3" s="60"/>
      <c r="B3" s="60"/>
      <c r="C3" s="60"/>
      <c r="D3" s="60"/>
    </row>
    <row r="4">
      <c r="A4" s="60"/>
      <c r="B4" s="60"/>
      <c r="C4" s="60"/>
      <c r="D4" s="60"/>
    </row>
    <row r="5">
      <c r="A5" s="60"/>
      <c r="B5" s="60"/>
      <c r="C5" s="60"/>
      <c r="D5" s="60"/>
    </row>
    <row r="6">
      <c r="A6" s="60"/>
      <c r="B6" s="60"/>
      <c r="C6" s="60"/>
      <c r="D6" s="60"/>
    </row>
    <row r="7">
      <c r="A7" s="60"/>
      <c r="B7" s="60"/>
      <c r="C7" s="60"/>
      <c r="D7" s="60"/>
    </row>
    <row r="8">
      <c r="A8" s="60"/>
      <c r="B8" s="60"/>
      <c r="C8" s="60"/>
      <c r="D8" s="60"/>
    </row>
    <row r="9">
      <c r="A9" s="60"/>
      <c r="B9" s="60"/>
      <c r="C9" s="60"/>
      <c r="D9" s="60"/>
    </row>
    <row r="10">
      <c r="A10" s="60"/>
      <c r="B10" s="60"/>
      <c r="C10" s="60"/>
      <c r="D10" s="60"/>
    </row>
    <row r="11">
      <c r="A11" s="60"/>
      <c r="B11" s="60"/>
      <c r="C11" s="60"/>
      <c r="D11" s="60"/>
    </row>
    <row r="12">
      <c r="A12" s="60"/>
      <c r="B12" s="60"/>
      <c r="C12" s="60"/>
      <c r="D12" s="60"/>
    </row>
    <row r="13">
      <c r="A13" s="60"/>
      <c r="B13" s="60"/>
      <c r="C13" s="60"/>
      <c r="D13" s="60"/>
    </row>
    <row r="14">
      <c r="A14" s="60"/>
      <c r="B14" s="60"/>
      <c r="C14" s="60"/>
      <c r="D14" s="60"/>
    </row>
    <row r="15">
      <c r="A15" s="60"/>
      <c r="B15" s="60"/>
      <c r="C15" s="60"/>
      <c r="D15" s="60"/>
    </row>
    <row r="16">
      <c r="A16" s="60"/>
      <c r="B16" s="60"/>
      <c r="C16" s="60"/>
      <c r="D16" s="60"/>
    </row>
    <row r="17">
      <c r="A17" s="60"/>
      <c r="B17" s="60"/>
      <c r="C17" s="60"/>
      <c r="D17" s="60"/>
    </row>
    <row r="18">
      <c r="A18" s="60"/>
      <c r="B18" s="60"/>
      <c r="C18" s="60"/>
      <c r="D18" s="60"/>
    </row>
    <row r="19">
      <c r="A19" s="60"/>
      <c r="B19" s="60"/>
      <c r="C19" s="60"/>
      <c r="D19" s="60"/>
    </row>
    <row r="20">
      <c r="A20" s="60"/>
      <c r="B20" s="60"/>
      <c r="C20" s="60"/>
      <c r="D20" s="60"/>
    </row>
    <row r="21">
      <c r="A21" s="60"/>
      <c r="B21" s="60"/>
      <c r="C21" s="60"/>
      <c r="D21" s="60"/>
    </row>
    <row r="22">
      <c r="A22" s="60"/>
      <c r="B22" s="60"/>
      <c r="C22" s="60"/>
      <c r="D22" s="60"/>
    </row>
    <row r="23">
      <c r="A23" s="60"/>
      <c r="B23" s="60"/>
      <c r="C23" s="60"/>
      <c r="D23" s="60"/>
    </row>
    <row r="24">
      <c r="A24" s="60"/>
      <c r="B24" s="60"/>
      <c r="C24" s="60"/>
      <c r="D24" s="60"/>
    </row>
    <row r="25">
      <c r="A25" s="60"/>
      <c r="B25" s="60"/>
      <c r="C25" s="60"/>
      <c r="D25" s="60"/>
    </row>
    <row r="26">
      <c r="A26" s="60"/>
      <c r="B26" s="60"/>
      <c r="C26" s="60"/>
      <c r="D26" s="60"/>
    </row>
    <row r="27">
      <c r="A27" s="60"/>
      <c r="B27" s="60"/>
      <c r="C27" s="60"/>
      <c r="D27" s="60"/>
    </row>
    <row r="28">
      <c r="A28" s="60"/>
      <c r="B28" s="60"/>
      <c r="C28" s="60"/>
      <c r="D28" s="6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0" t="s">
        <v>130</v>
      </c>
      <c r="B1" s="60" t="s">
        <v>132</v>
      </c>
      <c r="C1" s="60" t="s">
        <v>133</v>
      </c>
      <c r="D1" s="60" t="s">
        <v>134</v>
      </c>
      <c r="E1" s="60" t="s">
        <v>135</v>
      </c>
      <c r="F1" s="60" t="s">
        <v>136</v>
      </c>
    </row>
    <row r="2">
      <c r="A2" s="60"/>
      <c r="B2" s="60"/>
      <c r="C2" s="60"/>
      <c r="D2" s="60"/>
      <c r="E2" s="60"/>
      <c r="F2" s="60"/>
    </row>
    <row r="3">
      <c r="A3" s="60"/>
      <c r="B3" s="60"/>
      <c r="C3" s="60"/>
      <c r="D3" s="60"/>
      <c r="E3" s="60"/>
      <c r="F3" s="60"/>
    </row>
    <row r="4">
      <c r="A4" s="60"/>
      <c r="B4" s="60"/>
      <c r="C4" s="60"/>
      <c r="D4" s="60"/>
      <c r="E4" s="60"/>
      <c r="F4" s="60"/>
    </row>
    <row r="5">
      <c r="A5" s="60"/>
      <c r="B5" s="60"/>
      <c r="C5" s="60"/>
      <c r="D5" s="60"/>
      <c r="E5" s="60"/>
      <c r="F5" s="60"/>
    </row>
    <row r="6">
      <c r="A6" s="60"/>
      <c r="B6" s="60"/>
      <c r="C6" s="60"/>
      <c r="D6" s="60"/>
      <c r="E6" s="60"/>
      <c r="F6" s="60"/>
    </row>
    <row r="7">
      <c r="A7" s="60"/>
      <c r="B7" s="60"/>
      <c r="C7" s="60"/>
      <c r="D7" s="60"/>
      <c r="E7" s="60"/>
      <c r="F7" s="60"/>
    </row>
    <row r="8">
      <c r="A8" s="60"/>
      <c r="B8" s="60"/>
      <c r="C8" s="60"/>
      <c r="D8" s="60"/>
      <c r="E8" s="60"/>
      <c r="F8" s="60"/>
    </row>
    <row r="9">
      <c r="A9" s="60"/>
      <c r="B9" s="60"/>
      <c r="C9" s="60"/>
      <c r="D9" s="60"/>
      <c r="E9" s="60"/>
      <c r="F9" s="60"/>
    </row>
    <row r="10">
      <c r="A10" s="60"/>
      <c r="B10" s="60"/>
      <c r="C10" s="60"/>
      <c r="D10" s="60"/>
      <c r="E10" s="60"/>
      <c r="F10" s="60"/>
    </row>
    <row r="11">
      <c r="A11" s="60"/>
      <c r="B11" s="60"/>
      <c r="C11" s="60"/>
      <c r="D11" s="60"/>
      <c r="E11" s="60"/>
      <c r="F11" s="60"/>
    </row>
    <row r="12">
      <c r="A12" s="60"/>
      <c r="B12" s="60"/>
      <c r="C12" s="60"/>
      <c r="D12" s="60"/>
      <c r="E12" s="60"/>
      <c r="F12" s="60"/>
    </row>
    <row r="13">
      <c r="A13" s="60"/>
      <c r="B13" s="60"/>
      <c r="C13" s="60"/>
      <c r="D13" s="60"/>
      <c r="E13" s="60"/>
      <c r="F13" s="60"/>
    </row>
    <row r="14">
      <c r="A14" s="60"/>
      <c r="B14" s="60"/>
      <c r="C14" s="60"/>
      <c r="D14" s="60"/>
      <c r="E14" s="60"/>
      <c r="F14" s="60"/>
    </row>
    <row r="15">
      <c r="A15" s="60"/>
      <c r="B15" s="60"/>
      <c r="C15" s="60"/>
      <c r="D15" s="60"/>
      <c r="E15" s="60"/>
      <c r="F15" s="60"/>
    </row>
    <row r="16">
      <c r="A16" s="60"/>
      <c r="B16" s="60"/>
      <c r="C16" s="60"/>
      <c r="D16" s="60"/>
      <c r="E16" s="60"/>
      <c r="F16" s="60"/>
    </row>
    <row r="17">
      <c r="A17" s="60"/>
      <c r="B17" s="60"/>
      <c r="C17" s="60"/>
      <c r="D17" s="60"/>
      <c r="E17" s="60"/>
      <c r="F17" s="60"/>
    </row>
    <row r="18">
      <c r="A18" s="60"/>
      <c r="B18" s="60"/>
      <c r="C18" s="60"/>
      <c r="D18" s="60"/>
      <c r="E18" s="60"/>
      <c r="F18" s="60"/>
    </row>
    <row r="19">
      <c r="A19" s="60"/>
      <c r="B19" s="60"/>
      <c r="C19" s="60"/>
      <c r="D19" s="60"/>
      <c r="E19" s="60"/>
      <c r="F19" s="60"/>
    </row>
    <row r="20">
      <c r="A20" s="60"/>
      <c r="B20" s="60"/>
      <c r="C20" s="60"/>
      <c r="D20" s="60"/>
      <c r="E20" s="60"/>
      <c r="F20" s="60"/>
    </row>
    <row r="21">
      <c r="A21" s="60"/>
      <c r="B21" s="60"/>
      <c r="C21" s="60"/>
      <c r="D21" s="60"/>
      <c r="E21" s="60"/>
      <c r="F21" s="60"/>
    </row>
    <row r="22">
      <c r="A22" s="60"/>
      <c r="B22" s="60"/>
      <c r="C22" s="60"/>
      <c r="D22" s="60"/>
      <c r="E22" s="60"/>
      <c r="F22" s="60"/>
    </row>
    <row r="23">
      <c r="A23" s="60"/>
      <c r="B23" s="60"/>
      <c r="C23" s="60"/>
      <c r="D23" s="60"/>
      <c r="E23" s="60"/>
      <c r="F23" s="60"/>
    </row>
    <row r="24">
      <c r="A24" s="60"/>
      <c r="B24" s="60"/>
      <c r="C24" s="60"/>
      <c r="D24" s="60"/>
      <c r="E24" s="60"/>
      <c r="F24" s="60"/>
    </row>
    <row r="25">
      <c r="A25" s="60"/>
      <c r="B25" s="60"/>
      <c r="C25" s="60"/>
      <c r="D25" s="60"/>
      <c r="E25" s="60"/>
      <c r="F25" s="60"/>
    </row>
    <row r="26">
      <c r="A26" s="60"/>
      <c r="B26" s="60"/>
      <c r="C26" s="60"/>
      <c r="D26" s="60"/>
      <c r="E26" s="60"/>
      <c r="F26" s="60"/>
    </row>
    <row r="27">
      <c r="A27" s="60"/>
      <c r="B27" s="60"/>
      <c r="C27" s="60"/>
      <c r="D27" s="60"/>
      <c r="E27" s="60"/>
      <c r="F27" s="60"/>
    </row>
    <row r="28">
      <c r="A28" s="60"/>
      <c r="B28" s="60"/>
      <c r="C28" s="60"/>
      <c r="D28" s="60"/>
      <c r="E28" s="60"/>
      <c r="F28" s="60"/>
    </row>
    <row r="29">
      <c r="A29" s="60"/>
      <c r="B29" s="60"/>
      <c r="C29" s="60"/>
      <c r="D29" s="60"/>
      <c r="E29" s="60"/>
      <c r="F29" s="60"/>
    </row>
    <row r="30">
      <c r="A30" s="60"/>
      <c r="B30" s="60"/>
      <c r="C30" s="60"/>
      <c r="D30" s="60"/>
      <c r="E30" s="60"/>
      <c r="F30" s="60"/>
    </row>
    <row r="31">
      <c r="A31" s="60"/>
      <c r="B31" s="60"/>
      <c r="C31" s="60"/>
      <c r="D31" s="60"/>
      <c r="E31" s="60"/>
      <c r="F31" s="60"/>
    </row>
    <row r="32">
      <c r="A32" s="60"/>
      <c r="B32" s="60"/>
      <c r="C32" s="60"/>
      <c r="D32" s="60"/>
      <c r="E32" s="60"/>
      <c r="F32" s="60"/>
    </row>
    <row r="33">
      <c r="A33" s="60"/>
      <c r="B33" s="60"/>
      <c r="C33" s="60"/>
      <c r="D33" s="60"/>
      <c r="E33" s="60"/>
      <c r="F33" s="60"/>
    </row>
    <row r="34">
      <c r="A34" s="60"/>
      <c r="B34" s="60"/>
      <c r="C34" s="60"/>
      <c r="D34" s="60"/>
      <c r="E34" s="60"/>
      <c r="F34" s="60"/>
    </row>
    <row r="35">
      <c r="A35" s="60"/>
      <c r="B35" s="60"/>
      <c r="C35" s="60"/>
      <c r="D35" s="60"/>
      <c r="E35" s="60"/>
      <c r="F35" s="60"/>
    </row>
    <row r="36">
      <c r="A36" s="60"/>
      <c r="B36" s="60"/>
      <c r="C36" s="60"/>
      <c r="D36" s="60"/>
      <c r="E36" s="60"/>
      <c r="F36" s="60"/>
    </row>
    <row r="37">
      <c r="A37" s="60"/>
      <c r="B37" s="60"/>
      <c r="C37" s="60"/>
      <c r="D37" s="60"/>
      <c r="E37" s="60"/>
      <c r="F37" s="60"/>
    </row>
    <row r="38">
      <c r="A38" s="60"/>
      <c r="B38" s="60"/>
      <c r="C38" s="60"/>
      <c r="D38" s="60"/>
      <c r="E38" s="60"/>
      <c r="F38" s="60"/>
    </row>
    <row r="39">
      <c r="A39" s="60"/>
      <c r="B39" s="60"/>
      <c r="C39" s="60"/>
      <c r="D39" s="60"/>
      <c r="E39" s="60"/>
      <c r="F39" s="60"/>
    </row>
    <row r="40">
      <c r="A40" s="60"/>
      <c r="B40" s="60"/>
      <c r="C40" s="60"/>
      <c r="D40" s="60"/>
      <c r="E40" s="60"/>
      <c r="F40" s="60"/>
    </row>
    <row r="41">
      <c r="A41" s="60"/>
      <c r="B41" s="60"/>
      <c r="C41" s="60"/>
      <c r="D41" s="60"/>
      <c r="E41" s="60"/>
      <c r="F41" s="60"/>
    </row>
    <row r="42">
      <c r="A42" s="60"/>
      <c r="B42" s="60"/>
      <c r="C42" s="60"/>
      <c r="D42" s="60"/>
      <c r="E42" s="60"/>
      <c r="F42" s="60"/>
    </row>
    <row r="43">
      <c r="A43" s="60"/>
      <c r="B43" s="60"/>
      <c r="C43" s="60"/>
      <c r="D43" s="60"/>
      <c r="E43" s="60"/>
      <c r="F43" s="60"/>
    </row>
    <row r="44">
      <c r="A44" s="60"/>
      <c r="B44" s="60"/>
      <c r="C44" s="60"/>
      <c r="D44" s="60"/>
      <c r="E44" s="60"/>
      <c r="F44" s="60"/>
    </row>
    <row r="45">
      <c r="A45" s="60"/>
      <c r="B45" s="60"/>
      <c r="C45" s="60"/>
      <c r="D45" s="60"/>
      <c r="E45" s="60"/>
      <c r="F45" s="60"/>
    </row>
    <row r="46">
      <c r="A46" s="60"/>
      <c r="B46" s="60"/>
      <c r="C46" s="60"/>
      <c r="D46" s="60"/>
      <c r="E46" s="60"/>
      <c r="F46" s="60"/>
    </row>
    <row r="47">
      <c r="A47" s="60"/>
      <c r="B47" s="60"/>
      <c r="C47" s="60"/>
      <c r="D47" s="60"/>
      <c r="E47" s="60"/>
      <c r="F47" s="60"/>
    </row>
    <row r="48">
      <c r="A48" s="60"/>
      <c r="B48" s="60"/>
      <c r="C48" s="60"/>
      <c r="D48" s="60"/>
      <c r="E48" s="60"/>
      <c r="F48" s="60"/>
    </row>
    <row r="49">
      <c r="A49" s="60"/>
      <c r="B49" s="60"/>
      <c r="C49" s="60"/>
      <c r="D49" s="60"/>
      <c r="E49" s="60"/>
      <c r="F49" s="60"/>
    </row>
    <row r="50">
      <c r="A50" s="60"/>
      <c r="B50" s="60"/>
      <c r="C50" s="60"/>
      <c r="D50" s="60"/>
      <c r="E50" s="60"/>
      <c r="F50" s="60"/>
    </row>
    <row r="51">
      <c r="A51" s="60"/>
      <c r="B51" s="60"/>
      <c r="C51" s="60"/>
      <c r="D51" s="60"/>
      <c r="E51" s="60"/>
      <c r="F51" s="60"/>
    </row>
    <row r="52">
      <c r="A52" s="60"/>
      <c r="B52" s="60"/>
      <c r="C52" s="60"/>
      <c r="D52" s="60"/>
      <c r="E52" s="60"/>
      <c r="F52" s="60"/>
    </row>
    <row r="53">
      <c r="A53" s="60"/>
      <c r="B53" s="60"/>
      <c r="C53" s="60"/>
      <c r="D53" s="60"/>
      <c r="E53" s="60"/>
      <c r="F53" s="60"/>
    </row>
    <row r="54">
      <c r="A54" s="60"/>
      <c r="B54" s="60"/>
      <c r="C54" s="60"/>
      <c r="D54" s="60"/>
      <c r="E54" s="60"/>
      <c r="F54" s="60"/>
    </row>
    <row r="55">
      <c r="A55" s="60"/>
      <c r="B55" s="60"/>
      <c r="C55" s="60"/>
      <c r="D55" s="60"/>
      <c r="E55" s="60"/>
      <c r="F55" s="60"/>
    </row>
    <row r="56">
      <c r="A56" s="60"/>
      <c r="B56" s="60"/>
      <c r="C56" s="60"/>
      <c r="D56" s="60"/>
      <c r="E56" s="60"/>
      <c r="F56" s="60"/>
    </row>
    <row r="57">
      <c r="A57" s="60"/>
      <c r="B57" s="60"/>
      <c r="C57" s="60"/>
      <c r="D57" s="60"/>
      <c r="E57" s="60"/>
      <c r="F57" s="60"/>
    </row>
    <row r="58">
      <c r="A58" s="60"/>
      <c r="B58" s="60"/>
      <c r="C58" s="60"/>
      <c r="D58" s="60"/>
      <c r="E58" s="60"/>
      <c r="F58" s="60"/>
    </row>
    <row r="59">
      <c r="A59" s="60"/>
      <c r="B59" s="60"/>
      <c r="C59" s="60"/>
      <c r="D59" s="60"/>
      <c r="E59" s="60"/>
      <c r="F59" s="60"/>
    </row>
    <row r="60">
      <c r="A60" s="60"/>
      <c r="B60" s="60"/>
      <c r="C60" s="60"/>
      <c r="D60" s="60"/>
      <c r="E60" s="60"/>
      <c r="F60" s="60"/>
    </row>
    <row r="61">
      <c r="A61" s="60"/>
      <c r="B61" s="60"/>
      <c r="C61" s="60"/>
      <c r="D61" s="60"/>
      <c r="E61" s="60"/>
      <c r="F61" s="60"/>
    </row>
    <row r="62">
      <c r="A62" s="60"/>
      <c r="B62" s="60"/>
      <c r="C62" s="60"/>
      <c r="D62" s="60"/>
      <c r="E62" s="60"/>
      <c r="F62" s="60"/>
    </row>
    <row r="63">
      <c r="A63" s="60"/>
      <c r="B63" s="60"/>
      <c r="C63" s="60"/>
      <c r="D63" s="60"/>
      <c r="E63" s="60"/>
      <c r="F63" s="60"/>
    </row>
    <row r="64">
      <c r="A64" s="60"/>
      <c r="B64" s="60"/>
      <c r="C64" s="60"/>
      <c r="D64" s="60"/>
      <c r="E64" s="60"/>
      <c r="F64" s="60"/>
    </row>
    <row r="65">
      <c r="A65" s="60"/>
      <c r="B65" s="60"/>
      <c r="C65" s="60"/>
      <c r="D65" s="60"/>
      <c r="E65" s="60"/>
      <c r="F65" s="60"/>
    </row>
    <row r="66">
      <c r="A66" s="60"/>
      <c r="B66" s="60"/>
      <c r="C66" s="60"/>
      <c r="D66" s="60"/>
      <c r="E66" s="60"/>
      <c r="F66" s="60"/>
    </row>
    <row r="67">
      <c r="A67" s="60"/>
      <c r="B67" s="60"/>
      <c r="C67" s="60"/>
      <c r="D67" s="60"/>
      <c r="E67" s="60"/>
      <c r="F67" s="60"/>
    </row>
    <row r="68">
      <c r="A68" s="60"/>
      <c r="B68" s="60"/>
      <c r="C68" s="60"/>
      <c r="D68" s="60"/>
      <c r="E68" s="60"/>
      <c r="F68" s="60"/>
    </row>
    <row r="69">
      <c r="A69" s="60"/>
      <c r="B69" s="60"/>
      <c r="C69" s="60"/>
      <c r="D69" s="60"/>
      <c r="E69" s="60"/>
      <c r="F69" s="60"/>
    </row>
    <row r="70">
      <c r="A70" s="60"/>
      <c r="B70" s="60"/>
      <c r="C70" s="60"/>
      <c r="D70" s="60"/>
      <c r="E70" s="60"/>
      <c r="F70" s="60"/>
    </row>
    <row r="71">
      <c r="A71" s="60"/>
      <c r="B71" s="60"/>
      <c r="C71" s="60"/>
      <c r="D71" s="60"/>
      <c r="E71" s="60"/>
      <c r="F71" s="6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0" t="s">
        <v>2</v>
      </c>
      <c r="B1" s="60" t="s">
        <v>3</v>
      </c>
      <c r="C1" s="60" t="s">
        <v>14</v>
      </c>
      <c r="D1" s="60" t="s">
        <v>4</v>
      </c>
      <c r="E1" s="60" t="s">
        <v>137</v>
      </c>
      <c r="F1" s="60" t="s">
        <v>138</v>
      </c>
      <c r="G1" s="60" t="s">
        <v>139</v>
      </c>
      <c r="H1" s="60" t="s">
        <v>132</v>
      </c>
    </row>
    <row r="2">
      <c r="A2" s="60"/>
      <c r="B2" s="60"/>
      <c r="C2" s="60"/>
      <c r="D2" s="60"/>
      <c r="F2" s="60"/>
      <c r="G2" s="60"/>
      <c r="H2" s="60"/>
    </row>
    <row r="3">
      <c r="A3" s="60"/>
      <c r="B3" s="60"/>
      <c r="C3" s="60"/>
      <c r="D3" s="60"/>
      <c r="F3" s="60"/>
      <c r="G3" s="60"/>
      <c r="H3" s="60"/>
    </row>
    <row r="4">
      <c r="A4" s="60"/>
      <c r="B4" s="60"/>
      <c r="C4" s="60"/>
      <c r="D4" s="60"/>
      <c r="F4" s="60"/>
      <c r="G4" s="60"/>
      <c r="H4" s="60"/>
    </row>
    <row r="5">
      <c r="A5" s="60"/>
      <c r="B5" s="60"/>
      <c r="C5" s="60"/>
      <c r="D5" s="60"/>
      <c r="F5" s="60"/>
      <c r="G5" s="60"/>
      <c r="H5" s="6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0" t="s">
        <v>32</v>
      </c>
      <c r="B1" s="60" t="s">
        <v>140</v>
      </c>
      <c r="C1" s="60" t="s">
        <v>141</v>
      </c>
      <c r="D1" s="60" t="s">
        <v>132</v>
      </c>
    </row>
    <row r="2">
      <c r="A2" s="60"/>
      <c r="B2" s="60"/>
      <c r="C2" s="60"/>
      <c r="D2" s="60"/>
    </row>
    <row r="3">
      <c r="A3" s="60"/>
      <c r="B3" s="60"/>
      <c r="C3" s="60"/>
      <c r="D3" s="60"/>
    </row>
    <row r="4">
      <c r="A4" s="60"/>
      <c r="B4" s="60"/>
      <c r="C4" s="60"/>
      <c r="D4" s="60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0" t="s">
        <v>142</v>
      </c>
      <c r="B1" s="60" t="s">
        <v>130</v>
      </c>
      <c r="C1" s="60" t="s">
        <v>32</v>
      </c>
      <c r="D1" s="60" t="s">
        <v>140</v>
      </c>
      <c r="E1" s="60" t="s">
        <v>143</v>
      </c>
      <c r="F1" s="60" t="s">
        <v>144</v>
      </c>
      <c r="G1" s="60" t="s">
        <v>145</v>
      </c>
      <c r="H1" s="60" t="s">
        <v>146</v>
      </c>
      <c r="I1" s="60" t="s">
        <v>147</v>
      </c>
      <c r="J1" s="60" t="s">
        <v>148</v>
      </c>
      <c r="K1" s="60" t="s">
        <v>149</v>
      </c>
      <c r="L1" s="60" t="s">
        <v>150</v>
      </c>
    </row>
    <row r="2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</row>
    <row r="4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</row>
    <row r="5">
      <c r="A5" s="60"/>
      <c r="B5" s="60"/>
      <c r="C5" s="60"/>
      <c r="D5" s="60"/>
      <c r="H5" s="60"/>
      <c r="I5" s="60"/>
      <c r="J5" s="60"/>
      <c r="K5" s="60"/>
      <c r="L5" s="60"/>
    </row>
    <row r="6">
      <c r="A6" s="60"/>
      <c r="B6" s="60"/>
      <c r="C6" s="60"/>
      <c r="D6" s="60"/>
      <c r="H6" s="60"/>
      <c r="I6" s="60"/>
      <c r="J6" s="60"/>
      <c r="K6" s="60"/>
      <c r="L6" s="60"/>
    </row>
    <row r="7">
      <c r="A7" s="60"/>
      <c r="B7" s="60"/>
      <c r="C7" s="60"/>
      <c r="D7" s="60"/>
      <c r="H7" s="60"/>
      <c r="I7" s="60"/>
      <c r="J7" s="60"/>
      <c r="K7" s="60"/>
      <c r="L7" s="60"/>
    </row>
    <row r="8">
      <c r="A8" s="60"/>
      <c r="B8" s="60"/>
      <c r="C8" s="60"/>
      <c r="D8" s="60"/>
      <c r="H8" s="60"/>
      <c r="I8" s="60"/>
      <c r="J8" s="60"/>
      <c r="K8" s="60"/>
      <c r="L8" s="60"/>
    </row>
    <row r="9">
      <c r="A9" s="60"/>
      <c r="B9" s="60"/>
      <c r="C9" s="60"/>
      <c r="D9" s="60"/>
      <c r="H9" s="60"/>
      <c r="I9" s="60"/>
      <c r="J9" s="60"/>
      <c r="K9" s="60"/>
      <c r="L9" s="60"/>
    </row>
    <row r="10">
      <c r="A10" s="60"/>
      <c r="B10" s="60"/>
      <c r="C10" s="60"/>
      <c r="D10" s="60"/>
      <c r="H10" s="60"/>
      <c r="I10" s="60"/>
      <c r="J10" s="60"/>
      <c r="K10" s="60"/>
      <c r="L10" s="60"/>
    </row>
    <row r="11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</row>
    <row r="12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</row>
    <row r="13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</row>
    <row r="14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</row>
    <row r="1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</row>
    <row r="16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</row>
    <row r="17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</row>
    <row r="18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</row>
    <row r="19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</row>
    <row r="20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</row>
    <row r="2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</row>
    <row r="22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</row>
    <row r="23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</row>
    <row r="24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</row>
    <row r="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0" t="s">
        <v>2</v>
      </c>
      <c r="B1" s="60" t="s">
        <v>41</v>
      </c>
      <c r="C1" s="60" t="s">
        <v>9</v>
      </c>
      <c r="D1" s="60" t="s">
        <v>151</v>
      </c>
      <c r="E1" s="60" t="s">
        <v>152</v>
      </c>
      <c r="F1" s="60" t="s">
        <v>132</v>
      </c>
    </row>
    <row r="2">
      <c r="A2" s="60"/>
      <c r="B2" s="60"/>
      <c r="D2" s="60"/>
      <c r="E2" s="60"/>
      <c r="F2" s="60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0" t="s">
        <v>2</v>
      </c>
      <c r="B1" s="60" t="s">
        <v>4</v>
      </c>
      <c r="C1" s="60" t="s">
        <v>11</v>
      </c>
      <c r="D1" s="60" t="s">
        <v>13</v>
      </c>
      <c r="E1" s="60" t="s">
        <v>153</v>
      </c>
      <c r="F1" s="60" t="s">
        <v>154</v>
      </c>
      <c r="G1" s="60" t="s">
        <v>155</v>
      </c>
      <c r="H1" s="60" t="s">
        <v>156</v>
      </c>
      <c r="I1" s="60" t="s">
        <v>48</v>
      </c>
      <c r="J1" s="60" t="s">
        <v>152</v>
      </c>
      <c r="K1" s="60" t="s">
        <v>132</v>
      </c>
      <c r="L1" s="60" t="s">
        <v>7</v>
      </c>
      <c r="M1" s="60" t="s">
        <v>157</v>
      </c>
      <c r="N1" s="60" t="s">
        <v>158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0" t="s">
        <v>2</v>
      </c>
      <c r="B1" s="60" t="s">
        <v>161</v>
      </c>
      <c r="C1" s="60" t="s">
        <v>162</v>
      </c>
      <c r="D1" s="60" t="s">
        <v>163</v>
      </c>
      <c r="E1" s="60" t="s">
        <v>164</v>
      </c>
      <c r="F1" s="60" t="s">
        <v>165</v>
      </c>
      <c r="G1" s="60" t="s">
        <v>132</v>
      </c>
      <c r="H1" s="60" t="s">
        <v>166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0" t="s">
        <v>2</v>
      </c>
      <c r="B1" s="60" t="s">
        <v>6</v>
      </c>
      <c r="C1" s="60" t="s">
        <v>167</v>
      </c>
      <c r="D1" s="60" t="s">
        <v>168</v>
      </c>
      <c r="E1" s="60" t="s">
        <v>132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0" t="s">
        <v>2</v>
      </c>
      <c r="B1" s="60" t="s">
        <v>169</v>
      </c>
      <c r="C1" s="60" t="s">
        <v>170</v>
      </c>
      <c r="D1" s="60" t="s">
        <v>152</v>
      </c>
      <c r="E1" s="60" t="s">
        <v>132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0" t="s">
        <v>2</v>
      </c>
      <c r="B1" s="60" t="s">
        <v>4</v>
      </c>
      <c r="C1" s="60" t="s">
        <v>7</v>
      </c>
      <c r="D1" s="60" t="s">
        <v>3</v>
      </c>
      <c r="E1" s="60" t="s">
        <v>9</v>
      </c>
      <c r="F1" s="60" t="s">
        <v>14</v>
      </c>
      <c r="G1" s="60" t="s">
        <v>6</v>
      </c>
      <c r="H1" s="60" t="s">
        <v>152</v>
      </c>
      <c r="I1" s="60" t="s">
        <v>132</v>
      </c>
    </row>
  </sheetData>
  <drawing r:id="rId1"/>
</worksheet>
</file>